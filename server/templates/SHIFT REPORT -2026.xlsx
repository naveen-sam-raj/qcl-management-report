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6" windowWidth="22728" windowHeight="9792" tabRatio="605" activeTab="2"/>
  </bookViews>
  <sheets>
    <sheet name="T.CAO" sheetId="2" r:id="rId1"/>
    <sheet name="FEED BIOMASS TM &amp;BD" sheetId="3" r:id="rId2"/>
    <sheet name="SEP-26" sheetId="21" r:id="rId3"/>
  </sheets>
  <calcPr calcId="144525"/>
</workbook>
</file>

<file path=xl/calcChain.xml><?xml version="1.0" encoding="utf-8"?>
<calcChain xmlns="http://schemas.openxmlformats.org/spreadsheetml/2006/main">
  <c r="AQ46" i="21" l="1"/>
  <c r="AQ47" i="21"/>
  <c r="AG46" i="21"/>
  <c r="AG47" i="21"/>
  <c r="T47" i="21"/>
  <c r="P47" i="21"/>
  <c r="W47" i="21" s="1"/>
  <c r="U47" i="21"/>
  <c r="K47" i="21"/>
  <c r="S47" i="21"/>
  <c r="V47" i="21"/>
  <c r="BQ46" i="21" l="1"/>
  <c r="BR46" i="21"/>
  <c r="T46" i="21"/>
  <c r="P46" i="21"/>
  <c r="W46" i="21" s="1"/>
  <c r="U46" i="21"/>
  <c r="K46" i="21"/>
  <c r="S46" i="21"/>
  <c r="V46" i="21"/>
  <c r="BQ45" i="21" l="1"/>
  <c r="BR45" i="21"/>
  <c r="AQ45" i="21"/>
  <c r="AG45" i="21"/>
  <c r="T45" i="21"/>
  <c r="P45" i="21"/>
  <c r="W45" i="21" s="1"/>
  <c r="U45" i="21"/>
  <c r="K45" i="21"/>
  <c r="S45" i="21"/>
  <c r="V45" i="21"/>
  <c r="BQ44" i="21" l="1"/>
  <c r="BR44" i="21"/>
  <c r="AQ43" i="21"/>
  <c r="AQ44" i="21"/>
  <c r="AG43" i="21"/>
  <c r="AG44" i="21"/>
  <c r="T44" i="21"/>
  <c r="P44" i="21"/>
  <c r="W44" i="21" s="1"/>
  <c r="U44" i="21"/>
  <c r="K44" i="21"/>
  <c r="S44" i="21"/>
  <c r="V44" i="21"/>
  <c r="BQ43" i="21" l="1"/>
  <c r="BR43" i="21"/>
  <c r="T43" i="21"/>
  <c r="P43" i="21"/>
  <c r="W43" i="21" s="1"/>
  <c r="U43" i="21"/>
  <c r="K43" i="21"/>
  <c r="S43" i="21"/>
  <c r="V43" i="21"/>
  <c r="T42" i="21" l="1"/>
  <c r="P42" i="21"/>
  <c r="W42" i="21" s="1"/>
  <c r="U42" i="21"/>
  <c r="K42" i="21"/>
  <c r="S42" i="21"/>
  <c r="V42" i="21"/>
  <c r="BQ42" i="21" l="1"/>
  <c r="BR42" i="21"/>
  <c r="AQ42" i="21"/>
  <c r="AG42" i="21"/>
  <c r="T41" i="21" l="1"/>
  <c r="P41" i="21"/>
  <c r="W41" i="21" s="1"/>
  <c r="U41" i="21"/>
  <c r="K41" i="21"/>
  <c r="S41" i="21"/>
  <c r="V41" i="21"/>
  <c r="BQ41" i="21"/>
  <c r="BR41" i="21"/>
  <c r="AQ40" i="21"/>
  <c r="AQ41" i="21"/>
  <c r="AG40" i="21"/>
  <c r="AG41" i="21"/>
  <c r="BQ40" i="21" l="1"/>
  <c r="BR40" i="21"/>
  <c r="T40" i="21"/>
  <c r="P40" i="21"/>
  <c r="W40" i="21" s="1"/>
  <c r="U40" i="21"/>
  <c r="K40" i="21"/>
  <c r="S40" i="21"/>
  <c r="V40" i="21"/>
  <c r="T39" i="21" l="1"/>
  <c r="P39" i="21"/>
  <c r="W39" i="21" s="1"/>
  <c r="U39" i="21"/>
  <c r="K39" i="21"/>
  <c r="S39" i="21"/>
  <c r="V39" i="21"/>
  <c r="BQ39" i="21" l="1"/>
  <c r="BR39" i="21"/>
  <c r="AQ39" i="21"/>
  <c r="AG39" i="21"/>
  <c r="AQ38" i="21" l="1"/>
  <c r="AG38" i="21"/>
  <c r="T38" i="21"/>
  <c r="P38" i="21"/>
  <c r="W38" i="21" s="1"/>
  <c r="U38" i="21"/>
  <c r="K38" i="21"/>
  <c r="S38" i="21"/>
  <c r="V38" i="21"/>
  <c r="BQ38" i="21" l="1"/>
  <c r="BR38" i="21"/>
  <c r="BQ37" i="21" l="1"/>
  <c r="BR37" i="21"/>
  <c r="T37" i="21"/>
  <c r="P37" i="21"/>
  <c r="W37" i="21" s="1"/>
  <c r="U37" i="21"/>
  <c r="K37" i="21"/>
  <c r="S37" i="21"/>
  <c r="V37" i="21"/>
  <c r="BQ36" i="21" l="1"/>
  <c r="BR36" i="21"/>
  <c r="AQ36" i="21"/>
  <c r="AG36" i="21"/>
  <c r="T36" i="21"/>
  <c r="P36" i="21"/>
  <c r="W36" i="21" s="1"/>
  <c r="U36" i="21"/>
  <c r="K36" i="21"/>
  <c r="S36" i="21"/>
  <c r="V36" i="21"/>
  <c r="BQ35" i="21" l="1"/>
  <c r="BR35" i="21"/>
  <c r="T35" i="21"/>
  <c r="P35" i="21"/>
  <c r="W35" i="21" s="1"/>
  <c r="U35" i="21"/>
  <c r="K35" i="21"/>
  <c r="S35" i="21"/>
  <c r="V35" i="21"/>
  <c r="AQ34" i="21" l="1"/>
  <c r="AQ35" i="21"/>
  <c r="AG34" i="21"/>
  <c r="AG35" i="21"/>
  <c r="BQ34" i="21" l="1"/>
  <c r="BR34" i="21"/>
  <c r="T34" i="21"/>
  <c r="P34" i="21"/>
  <c r="W34" i="21" s="1"/>
  <c r="U34" i="21"/>
  <c r="K34" i="21"/>
  <c r="S34" i="21"/>
  <c r="V34" i="21"/>
  <c r="BQ33" i="21" l="1"/>
  <c r="BR33" i="21"/>
  <c r="AQ33" i="21"/>
  <c r="AG33" i="21"/>
  <c r="T33" i="21"/>
  <c r="P33" i="21"/>
  <c r="W33" i="21" s="1"/>
  <c r="U33" i="21"/>
  <c r="K33" i="21"/>
  <c r="S33" i="21"/>
  <c r="V33" i="21"/>
  <c r="BQ32" i="21" l="1"/>
  <c r="BR32" i="21"/>
  <c r="AQ31" i="21"/>
  <c r="AQ32" i="21"/>
  <c r="AG31" i="21"/>
  <c r="AG32" i="21"/>
  <c r="T32" i="21"/>
  <c r="P32" i="21"/>
  <c r="W32" i="21" s="1"/>
  <c r="U32" i="21"/>
  <c r="K32" i="21"/>
  <c r="S32" i="21"/>
  <c r="V32" i="21"/>
  <c r="T31" i="21" l="1"/>
  <c r="P31" i="21"/>
  <c r="W31" i="21" s="1"/>
  <c r="U31" i="21"/>
  <c r="K31" i="21"/>
  <c r="S31" i="21"/>
  <c r="V31" i="21"/>
  <c r="BQ31" i="21" l="1"/>
  <c r="BR31" i="21"/>
  <c r="BQ30" i="21" l="1"/>
  <c r="BR30" i="21"/>
  <c r="AP30" i="21"/>
  <c r="AF30" i="21"/>
  <c r="AG30" i="21" s="1"/>
  <c r="T30" i="21"/>
  <c r="P30" i="21"/>
  <c r="W30" i="21" s="1"/>
  <c r="U30" i="21"/>
  <c r="K30" i="21"/>
  <c r="S30" i="21"/>
  <c r="V30" i="21"/>
  <c r="AQ30" i="21" l="1"/>
  <c r="BQ29" i="21"/>
  <c r="BR29" i="21"/>
  <c r="AQ28" i="21"/>
  <c r="AQ29" i="21"/>
  <c r="AG28" i="21"/>
  <c r="AG29" i="21"/>
  <c r="T29" i="21"/>
  <c r="P29" i="21"/>
  <c r="W29" i="21" s="1"/>
  <c r="U29" i="21"/>
  <c r="K29" i="21"/>
  <c r="S29" i="21"/>
  <c r="V29" i="21"/>
  <c r="BQ28" i="21" l="1"/>
  <c r="BR28" i="21"/>
  <c r="T28" i="21"/>
  <c r="P28" i="21"/>
  <c r="W28" i="21" s="1"/>
  <c r="U28" i="21"/>
  <c r="K28" i="21"/>
  <c r="S28" i="21"/>
  <c r="V28" i="21"/>
  <c r="BQ27" i="21" l="1"/>
  <c r="BR27" i="21"/>
  <c r="AQ27" i="21"/>
  <c r="AG27" i="21"/>
  <c r="T27" i="21"/>
  <c r="P27" i="21"/>
  <c r="W27" i="21" s="1"/>
  <c r="U27" i="21"/>
  <c r="K27" i="21"/>
  <c r="S27" i="21"/>
  <c r="V27" i="21"/>
  <c r="BQ26" i="21" l="1"/>
  <c r="BR26" i="21"/>
  <c r="AQ25" i="21"/>
  <c r="AQ26" i="21"/>
  <c r="AG25" i="21"/>
  <c r="AG26" i="21"/>
  <c r="T26" i="21"/>
  <c r="P26" i="21"/>
  <c r="W26" i="21" s="1"/>
  <c r="U26" i="21"/>
  <c r="K26" i="21"/>
  <c r="S26" i="21"/>
  <c r="V26" i="21"/>
  <c r="BQ25" i="21" l="1"/>
  <c r="BR25" i="21"/>
  <c r="T25" i="21"/>
  <c r="P25" i="21"/>
  <c r="W25" i="21" s="1"/>
  <c r="U25" i="21"/>
  <c r="K25" i="21"/>
  <c r="S25" i="21"/>
  <c r="V25" i="21"/>
  <c r="AQ24" i="21" l="1"/>
  <c r="AG24" i="21"/>
  <c r="T24" i="21"/>
  <c r="P24" i="21"/>
  <c r="W24" i="21" s="1"/>
  <c r="U24" i="21"/>
  <c r="K24" i="21"/>
  <c r="S24" i="21"/>
  <c r="V24" i="21"/>
  <c r="BQ24" i="21" l="1"/>
  <c r="BR24" i="21"/>
  <c r="T23" i="21" l="1"/>
  <c r="P23" i="21"/>
  <c r="W23" i="21" s="1"/>
  <c r="U23" i="21"/>
  <c r="K23" i="21"/>
  <c r="S23" i="21"/>
  <c r="V23" i="21"/>
  <c r="BQ23" i="21" l="1"/>
  <c r="BR23" i="21"/>
  <c r="AQ23" i="21"/>
  <c r="AG23" i="21"/>
  <c r="BQ22" i="21" l="1"/>
  <c r="BR22" i="21"/>
  <c r="T22" i="21"/>
  <c r="P22" i="21"/>
  <c r="W22" i="21" s="1"/>
  <c r="U22" i="21"/>
  <c r="K22" i="21"/>
  <c r="S22" i="21"/>
  <c r="V22" i="21"/>
  <c r="BQ21" i="21" l="1"/>
  <c r="BR21" i="21"/>
  <c r="AQ21" i="21"/>
  <c r="AG21" i="21"/>
  <c r="T21" i="21"/>
  <c r="P21" i="21"/>
  <c r="W21" i="21" s="1"/>
  <c r="U21" i="21"/>
  <c r="K21" i="21"/>
  <c r="S21" i="21"/>
  <c r="V21" i="21"/>
  <c r="BQ20" i="21" l="1"/>
  <c r="BR20" i="21"/>
  <c r="AQ19" i="21"/>
  <c r="AQ20" i="21"/>
  <c r="AG19" i="21"/>
  <c r="AG20" i="21"/>
  <c r="T20" i="21"/>
  <c r="P20" i="21"/>
  <c r="W20" i="21" s="1"/>
  <c r="U20" i="21"/>
  <c r="K20" i="21"/>
  <c r="S20" i="21"/>
  <c r="V20" i="21"/>
  <c r="BQ19" i="21" l="1"/>
  <c r="BR19" i="21"/>
  <c r="T19" i="21"/>
  <c r="P19" i="21"/>
  <c r="W19" i="21" s="1"/>
  <c r="U19" i="21"/>
  <c r="K19" i="21"/>
  <c r="S19" i="21"/>
  <c r="V19" i="21"/>
  <c r="T18" i="21" l="1"/>
  <c r="P18" i="21"/>
  <c r="W18" i="21" s="1"/>
  <c r="U18" i="21"/>
  <c r="K18" i="21"/>
  <c r="S18" i="21"/>
  <c r="V18" i="21"/>
  <c r="BQ18" i="21" l="1"/>
  <c r="BR18" i="21"/>
  <c r="AQ18" i="21"/>
  <c r="AG18" i="21"/>
  <c r="AQ17" i="21" l="1"/>
  <c r="AG16" i="21"/>
  <c r="AG17" i="21"/>
  <c r="T17" i="21"/>
  <c r="P17" i="21"/>
  <c r="W17" i="21" s="1"/>
  <c r="U17" i="21"/>
  <c r="K17" i="21"/>
  <c r="S17" i="21" l="1"/>
  <c r="V17" i="21"/>
  <c r="BQ17" i="21" l="1"/>
  <c r="BR17" i="21"/>
  <c r="BQ16" i="21" l="1"/>
  <c r="BR16" i="21"/>
  <c r="T16" i="21"/>
  <c r="P16" i="21"/>
  <c r="W16" i="21" s="1"/>
  <c r="U16" i="21"/>
  <c r="K16" i="21"/>
  <c r="S16" i="21"/>
  <c r="V16" i="21"/>
  <c r="BQ15" i="21" l="1"/>
  <c r="BR15" i="21"/>
  <c r="AQ15" i="21"/>
  <c r="AG15" i="21"/>
  <c r="T15" i="21"/>
  <c r="P15" i="21"/>
  <c r="W15" i="21" s="1"/>
  <c r="U15" i="21"/>
  <c r="K15" i="21"/>
  <c r="S15" i="21"/>
  <c r="V15" i="21"/>
  <c r="T14" i="21" l="1"/>
  <c r="P14" i="21"/>
  <c r="W14" i="21" s="1"/>
  <c r="U14" i="21"/>
  <c r="K14" i="21"/>
  <c r="S14" i="21"/>
  <c r="V14" i="21"/>
  <c r="AQ13" i="21" l="1"/>
  <c r="AQ14" i="21"/>
  <c r="AG13" i="21"/>
  <c r="AG14" i="21"/>
  <c r="BQ14" i="21" l="1"/>
  <c r="BR14" i="21"/>
  <c r="BQ13" i="21" l="1"/>
  <c r="BR13" i="21"/>
  <c r="T13" i="21"/>
  <c r="P13" i="21"/>
  <c r="W13" i="21" s="1"/>
  <c r="U13" i="21"/>
  <c r="K13" i="21"/>
  <c r="S13" i="21"/>
  <c r="V13" i="21"/>
  <c r="BQ12" i="21" l="1"/>
  <c r="BR12" i="21"/>
  <c r="AQ6" i="21"/>
  <c r="AQ7" i="21"/>
  <c r="AQ8" i="21"/>
  <c r="AQ9" i="21"/>
  <c r="AQ10" i="21"/>
  <c r="AQ11" i="21"/>
  <c r="AQ12" i="21"/>
  <c r="AQ5" i="21"/>
  <c r="AG6" i="21"/>
  <c r="AG7" i="21"/>
  <c r="AG8" i="21"/>
  <c r="AG9" i="21"/>
  <c r="AG10" i="21"/>
  <c r="AG11" i="21"/>
  <c r="AG12" i="21"/>
  <c r="AG5" i="21"/>
  <c r="T12" i="21"/>
  <c r="P12" i="21"/>
  <c r="W12" i="21" s="1"/>
  <c r="U12" i="21"/>
  <c r="K12" i="21"/>
  <c r="S12" i="21"/>
  <c r="V12" i="21"/>
  <c r="BQ11" i="21" l="1"/>
  <c r="BR11" i="21"/>
  <c r="T11" i="21"/>
  <c r="P11" i="21"/>
  <c r="W11" i="21" s="1"/>
  <c r="U11" i="21"/>
  <c r="K11" i="21"/>
  <c r="S11" i="21"/>
  <c r="V11" i="21"/>
  <c r="BQ10" i="21" l="1"/>
  <c r="BR10" i="21"/>
  <c r="T10" i="21"/>
  <c r="P10" i="21"/>
  <c r="W10" i="21" s="1"/>
  <c r="U10" i="21"/>
  <c r="K10" i="21"/>
  <c r="S10" i="21"/>
  <c r="V10" i="21"/>
  <c r="BR8" i="21" l="1"/>
  <c r="BR9" i="21"/>
  <c r="BQ8" i="21"/>
  <c r="BQ9" i="21"/>
  <c r="V8" i="21"/>
  <c r="V9" i="21"/>
  <c r="U8" i="21" l="1"/>
  <c r="U9" i="21"/>
  <c r="T8" i="21"/>
  <c r="T9" i="21"/>
  <c r="S8" i="21"/>
  <c r="S9" i="21"/>
  <c r="P9" i="21"/>
  <c r="W9" i="21" s="1"/>
  <c r="K9" i="21"/>
  <c r="P8" i="21" l="1"/>
  <c r="W8" i="21" s="1"/>
  <c r="K8" i="21"/>
  <c r="BR6" i="21" l="1"/>
  <c r="BR7" i="21"/>
  <c r="BQ7" i="21"/>
  <c r="V7" i="21"/>
  <c r="U7" i="21"/>
  <c r="T7" i="21"/>
  <c r="S7" i="21"/>
  <c r="P7" i="21"/>
  <c r="W7" i="21" s="1"/>
  <c r="K7" i="21"/>
  <c r="V6" i="21" l="1"/>
  <c r="U6" i="21"/>
  <c r="T6" i="21"/>
  <c r="S6" i="21"/>
  <c r="P6" i="21"/>
  <c r="W6" i="21" s="1"/>
  <c r="K6" i="21"/>
  <c r="BQ6" i="21"/>
  <c r="BR5" i="21"/>
  <c r="BQ5" i="21"/>
  <c r="V5" i="21"/>
  <c r="U5" i="21"/>
  <c r="T5" i="21"/>
  <c r="S5" i="21"/>
  <c r="P5" i="21"/>
  <c r="W5" i="21" s="1"/>
  <c r="K5" i="21"/>
  <c r="DM135" i="21" l="1"/>
  <c r="DL135" i="21"/>
  <c r="DK134" i="21"/>
  <c r="DK133" i="21"/>
  <c r="DK132" i="21"/>
  <c r="DK131" i="21"/>
  <c r="DK130" i="21"/>
  <c r="DK129" i="21"/>
  <c r="DK128" i="21"/>
  <c r="DK127" i="21"/>
  <c r="DK126" i="21"/>
  <c r="DK125" i="21"/>
  <c r="DK124" i="21"/>
  <c r="DK123" i="21"/>
  <c r="DK122" i="21"/>
  <c r="DK121" i="21"/>
  <c r="DK120" i="21"/>
  <c r="DK119" i="21"/>
  <c r="DK118" i="21"/>
  <c r="DK117" i="21"/>
  <c r="DK115" i="21"/>
  <c r="DK114" i="21"/>
  <c r="DK113" i="21"/>
  <c r="DK112" i="21"/>
  <c r="DK111" i="21"/>
  <c r="DK110" i="21"/>
  <c r="DK109" i="21"/>
  <c r="DK108" i="21"/>
  <c r="DK107" i="21"/>
  <c r="DK106" i="21"/>
  <c r="DK105" i="21"/>
  <c r="DK104" i="21"/>
  <c r="DK103" i="21"/>
  <c r="DK102" i="21"/>
  <c r="DK101" i="21"/>
  <c r="DK100" i="21"/>
  <c r="BR48" i="21"/>
  <c r="BQ48" i="21"/>
  <c r="AQ48" i="21"/>
  <c r="AG48" i="21"/>
  <c r="W48" i="21"/>
  <c r="V48" i="21"/>
  <c r="U48" i="21"/>
  <c r="T48" i="21"/>
  <c r="S48" i="21"/>
</calcChain>
</file>

<file path=xl/sharedStrings.xml><?xml version="1.0" encoding="utf-8"?>
<sst xmlns="http://schemas.openxmlformats.org/spreadsheetml/2006/main" count="2086" uniqueCount="606">
  <si>
    <t>DATE</t>
  </si>
  <si>
    <t>SHIFT</t>
  </si>
  <si>
    <t>TK 203(Kgm/m3)</t>
  </si>
  <si>
    <t>TK 204 (Kgm/m3)</t>
  </si>
  <si>
    <t>TK 205(Kgm/m3)</t>
  </si>
  <si>
    <t>TK 207(Kgm/m3)</t>
  </si>
  <si>
    <t>ᵅ RATIO</t>
  </si>
  <si>
    <t>ᵝ RATIO</t>
  </si>
  <si>
    <t>ᵞ RATIO</t>
  </si>
  <si>
    <t>NR</t>
  </si>
  <si>
    <t>S LIQ</t>
  </si>
  <si>
    <t>EB CN</t>
  </si>
  <si>
    <t>EB(Kgm/m3)</t>
  </si>
  <si>
    <t>SALTING OUT % IN EB</t>
  </si>
  <si>
    <t xml:space="preserve">EC CN </t>
  </si>
  <si>
    <t>EC(Kgm/m3)</t>
  </si>
  <si>
    <t>SALTING OUT % IN EC</t>
  </si>
  <si>
    <t>PCL/TCL</t>
  </si>
  <si>
    <t xml:space="preserve"> ACL PRODUCT(%)</t>
  </si>
  <si>
    <t>HRT</t>
  </si>
  <si>
    <t>PCD</t>
  </si>
  <si>
    <t>TK 405(Kgm/m3)</t>
  </si>
  <si>
    <t>TK 419(Kgm/m3)</t>
  </si>
  <si>
    <t>BCC MOISTURE (%)</t>
  </si>
  <si>
    <t>ART ABSORPTION</t>
  </si>
  <si>
    <t>S-SA  DIFFERENC</t>
  </si>
  <si>
    <t>TOWER CONVERSION</t>
  </si>
  <si>
    <t>LSA PRODUCT</t>
  </si>
  <si>
    <t>CO2 LOADING</t>
  </si>
  <si>
    <t>E501 (g/l)</t>
  </si>
  <si>
    <t>T501 (g/l)</t>
  </si>
  <si>
    <t>EFFLUENT ANALYSIS (ppm)</t>
  </si>
  <si>
    <t>DEW POINT</t>
  </si>
  <si>
    <t>PURE SALT SIEVE (%)</t>
  </si>
  <si>
    <t>TOTAL CaO(PPM)</t>
  </si>
  <si>
    <r>
      <t>2.15</t>
    </r>
    <r>
      <rPr>
        <b/>
        <sz val="11"/>
        <rFont val="Times New Roman"/>
        <family val="1"/>
      </rPr>
      <t>~</t>
    </r>
    <r>
      <rPr>
        <b/>
        <sz val="11"/>
        <rFont val="Calibri"/>
        <family val="2"/>
        <scheme val="minor"/>
      </rPr>
      <t>2.35</t>
    </r>
  </si>
  <si>
    <t>1.00~1.12</t>
  </si>
  <si>
    <r>
      <t>≥</t>
    </r>
    <r>
      <rPr>
        <b/>
        <sz val="11"/>
        <rFont val="Calibri"/>
        <family val="2"/>
        <scheme val="minor"/>
      </rPr>
      <t>1.60</t>
    </r>
  </si>
  <si>
    <t>TURBIDITY</t>
  </si>
  <si>
    <t xml:space="preserve">AC PLANT </t>
  </si>
  <si>
    <t>SA PLANT</t>
  </si>
  <si>
    <t>AS PER DALIAN</t>
  </si>
  <si>
    <t>AS PER TFL</t>
  </si>
  <si>
    <t>FNH3</t>
  </si>
  <si>
    <t>CNH3</t>
  </si>
  <si>
    <t>CO2</t>
  </si>
  <si>
    <t>PCL</t>
  </si>
  <si>
    <t>TNH3</t>
  </si>
  <si>
    <t>TCL</t>
  </si>
  <si>
    <t>FNH3/CO2 (TK 203)</t>
  </si>
  <si>
    <t>FNH3/PCL (TK 207)</t>
  </si>
  <si>
    <t>PCL/CNH3 (TK 205)</t>
  </si>
  <si>
    <t>2CO2/FNH3  (203)</t>
  </si>
  <si>
    <t>TNH3/TCL (TK 207)</t>
  </si>
  <si>
    <t>A</t>
  </si>
  <si>
    <t>B</t>
  </si>
  <si>
    <t>C</t>
  </si>
  <si>
    <t>D</t>
  </si>
  <si>
    <t>E</t>
  </si>
  <si>
    <t>F</t>
  </si>
  <si>
    <t>G</t>
  </si>
  <si>
    <t>H</t>
  </si>
  <si>
    <t>AVG CN</t>
  </si>
  <si>
    <t>AVG</t>
  </si>
  <si>
    <t>GYPSUM</t>
  </si>
  <si>
    <t>INLET</t>
  </si>
  <si>
    <t>HRT Old Outlet</t>
  </si>
  <si>
    <t>HRT Outlet New</t>
  </si>
  <si>
    <t>Turbidity   (NTU)</t>
  </si>
  <si>
    <t>SB MOL PCL/CNH3</t>
  </si>
  <si>
    <t>FNH3/PCL</t>
  </si>
  <si>
    <t xml:space="preserve">
A</t>
  </si>
  <si>
    <t>O</t>
  </si>
  <si>
    <t>FNH3 kg/mol</t>
  </si>
  <si>
    <t>Na Cl Range</t>
  </si>
  <si>
    <t>Bulk density Range</t>
  </si>
  <si>
    <t>Turbidity</t>
  </si>
  <si>
    <t>RICH</t>
  </si>
  <si>
    <t xml:space="preserve">LEAN </t>
  </si>
  <si>
    <t>LEAN HSS %</t>
  </si>
  <si>
    <t>Na2co3</t>
  </si>
  <si>
    <t>HCO3(g/I)</t>
  </si>
  <si>
    <t>MEAN DIA</t>
  </si>
  <si>
    <t>TK 401</t>
  </si>
  <si>
    <t>TK 405</t>
  </si>
  <si>
    <t>I</t>
  </si>
  <si>
    <t>NIL</t>
  </si>
  <si>
    <t>PFD</t>
  </si>
  <si>
    <t>0.5-1.0</t>
  </si>
  <si>
    <t>TK207</t>
  </si>
  <si>
    <t>TK401</t>
  </si>
  <si>
    <t>TK405</t>
  </si>
  <si>
    <t>Ca as T.CaO</t>
  </si>
  <si>
    <t>Mg as T.CaO</t>
  </si>
  <si>
    <t>T.CaO</t>
  </si>
  <si>
    <t>(ppm)</t>
  </si>
  <si>
    <t>T.MOISTURE REPORT (%)</t>
  </si>
  <si>
    <t>SCREW FEEDER</t>
  </si>
  <si>
    <t>BD (g/l)</t>
  </si>
  <si>
    <t>MIXED SAMPLE</t>
  </si>
  <si>
    <t>**</t>
  </si>
  <si>
    <t>01.01.2026</t>
  </si>
  <si>
    <t>II</t>
  </si>
  <si>
    <t>III</t>
  </si>
  <si>
    <t>*</t>
  </si>
  <si>
    <t>02.01.2026</t>
  </si>
  <si>
    <t>03.01.2026</t>
  </si>
  <si>
    <t>650-664</t>
  </si>
  <si>
    <t>628-640</t>
  </si>
  <si>
    <t>76-92</t>
  </si>
  <si>
    <t>04.01.2026</t>
  </si>
  <si>
    <t>616-640</t>
  </si>
  <si>
    <t>620-636</t>
  </si>
  <si>
    <t>05.01.2026</t>
  </si>
  <si>
    <t>628-648</t>
  </si>
  <si>
    <t>06.01.2026</t>
  </si>
  <si>
    <t>07.01.2026</t>
  </si>
  <si>
    <t>612-636</t>
  </si>
  <si>
    <t>08.01.2026</t>
  </si>
  <si>
    <t>09.01.2026</t>
  </si>
  <si>
    <t>10.01.2026</t>
  </si>
  <si>
    <t>11.01.2026</t>
  </si>
  <si>
    <t>50-80</t>
  </si>
  <si>
    <t>12.01.2026</t>
  </si>
  <si>
    <t>13.01.2026</t>
  </si>
  <si>
    <t>14.01.2026</t>
  </si>
  <si>
    <t>630-640</t>
  </si>
  <si>
    <t>1.16-1.42</t>
  </si>
  <si>
    <t>15.01.2026</t>
  </si>
  <si>
    <t>16.01.2026</t>
  </si>
  <si>
    <t>17.01.2026</t>
  </si>
  <si>
    <t>18.01.2026</t>
  </si>
  <si>
    <t>612-620</t>
  </si>
  <si>
    <t>70-82</t>
  </si>
  <si>
    <t>19.01.2026</t>
  </si>
  <si>
    <t>635-640</t>
  </si>
  <si>
    <t>20.01.2026</t>
  </si>
  <si>
    <t>21.01.2026</t>
  </si>
  <si>
    <t>22.01.2026</t>
  </si>
  <si>
    <t>624-640</t>
  </si>
  <si>
    <t>23.01.2026</t>
  </si>
  <si>
    <t>90-110</t>
  </si>
  <si>
    <t>608-640</t>
  </si>
  <si>
    <t>24.01.2026</t>
  </si>
  <si>
    <t>644-672</t>
  </si>
  <si>
    <t>25.01.2026</t>
  </si>
  <si>
    <t>26.01.2026</t>
  </si>
  <si>
    <t>620-648</t>
  </si>
  <si>
    <t>27.01.2026</t>
  </si>
  <si>
    <t>28.01.2026</t>
  </si>
  <si>
    <t>85-100</t>
  </si>
  <si>
    <t>29.01.2026</t>
  </si>
  <si>
    <t>30.01.2026</t>
  </si>
  <si>
    <t>31.01.2026</t>
  </si>
  <si>
    <t>01.02.2026</t>
  </si>
  <si>
    <t xml:space="preserve"> 01.02.2026</t>
  </si>
  <si>
    <t>02.02.2026</t>
  </si>
  <si>
    <t>68-76</t>
  </si>
  <si>
    <t>03.02.2026</t>
  </si>
  <si>
    <t>04.02.2026</t>
  </si>
  <si>
    <t>05.02.2026</t>
  </si>
  <si>
    <t>20.2`</t>
  </si>
  <si>
    <t>06.02.2026</t>
  </si>
  <si>
    <t>07.02.2026</t>
  </si>
  <si>
    <t>08.02.2026</t>
  </si>
  <si>
    <t xml:space="preserve"> </t>
  </si>
  <si>
    <t>09.02.2026</t>
  </si>
  <si>
    <t>10.02.2026</t>
  </si>
  <si>
    <t>11.02.2026</t>
  </si>
  <si>
    <t>12.02.2026</t>
  </si>
  <si>
    <t>13.02.2026</t>
  </si>
  <si>
    <t>14.02.2026</t>
  </si>
  <si>
    <t>636-648</t>
  </si>
  <si>
    <t>15.02.2026</t>
  </si>
  <si>
    <t>16.02.2026</t>
  </si>
  <si>
    <t>17.02.2026</t>
  </si>
  <si>
    <t>18.02.2026</t>
  </si>
  <si>
    <t>19.02.2026</t>
  </si>
  <si>
    <t>20.02.2026</t>
  </si>
  <si>
    <t>604-640</t>
  </si>
  <si>
    <t>21.02.2026</t>
  </si>
  <si>
    <t>22.02.2026</t>
  </si>
  <si>
    <t>23.02.2026</t>
  </si>
  <si>
    <t>24.02.2026</t>
  </si>
  <si>
    <t>25.02.2026</t>
  </si>
  <si>
    <t>nil</t>
  </si>
  <si>
    <t>600-632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</si>
  <si>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</si>
  <si>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</si>
  <si>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</si>
  <si>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</si>
  <si>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</si>
  <si>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</si>
  <si>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</si>
  <si>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</si>
  <si>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</si>
  <si>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</si>
  <si>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660-680</t>
  </si>
  <si>
    <t>08.03.2026</t>
  </si>
  <si>
    <t>65-75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</si>
  <si>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</si>
  <si>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</si>
  <si>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</si>
  <si>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</si>
  <si>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</si>
  <si>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</si>
  <si>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</si>
  <si>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</si>
  <si>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</si>
  <si>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</si>
  <si>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</si>
  <si>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--</t>
  </si>
  <si>
    <t>Normal range</t>
  </si>
  <si>
    <t>500 -700</t>
  </si>
  <si>
    <t>120 -150</t>
  </si>
  <si>
    <t>27.04.2023</t>
  </si>
  <si>
    <t>28.04.2023</t>
  </si>
  <si>
    <t>29.04.2023</t>
  </si>
  <si>
    <t>30.04.2023</t>
  </si>
  <si>
    <t>01.05.2023</t>
  </si>
  <si>
    <t>21.06.2024</t>
  </si>
  <si>
    <t>200/130/70</t>
  </si>
  <si>
    <t>25.06.2024</t>
  </si>
  <si>
    <t>80/120</t>
  </si>
  <si>
    <t>25/340/270</t>
  </si>
  <si>
    <t>26.06.2024</t>
  </si>
  <si>
    <t>20/166/30</t>
  </si>
  <si>
    <t>27.06.2024</t>
  </si>
  <si>
    <t>197/182/172</t>
  </si>
  <si>
    <t>122/208</t>
  </si>
  <si>
    <t>28.06.2024</t>
  </si>
  <si>
    <t>40/154/35</t>
  </si>
  <si>
    <t>29.06.2024</t>
  </si>
  <si>
    <t>35/30</t>
  </si>
  <si>
    <t>30.06.2024</t>
  </si>
  <si>
    <t>32/23/70</t>
  </si>
  <si>
    <t>01.07.2024</t>
  </si>
  <si>
    <t>02.07.2024</t>
  </si>
  <si>
    <t>04.07.2024</t>
  </si>
  <si>
    <t>15.09.2024</t>
  </si>
  <si>
    <t>140/55/61/35</t>
  </si>
  <si>
    <t>16.09.2024</t>
  </si>
  <si>
    <t>22.09.2024</t>
  </si>
  <si>
    <t>24/32</t>
  </si>
  <si>
    <t>06.10.2024</t>
  </si>
  <si>
    <t>19.10.2024</t>
  </si>
  <si>
    <t>30,42</t>
  </si>
  <si>
    <t>20.10.2024</t>
  </si>
  <si>
    <t>79,82</t>
  </si>
  <si>
    <t>24.10.2024</t>
  </si>
  <si>
    <t>55,45</t>
  </si>
  <si>
    <t>27.10.2024</t>
  </si>
  <si>
    <t>04.11.2024</t>
  </si>
  <si>
    <t>48,35</t>
  </si>
  <si>
    <t>10.11.2024</t>
  </si>
  <si>
    <t>17.11.2024</t>
  </si>
  <si>
    <t>28.11.2024</t>
  </si>
  <si>
    <t>29.11.2024</t>
  </si>
  <si>
    <t>01.12.2024</t>
  </si>
  <si>
    <t>08.12.2024</t>
  </si>
  <si>
    <t>15.12.2024</t>
  </si>
  <si>
    <t>22.12.2024</t>
  </si>
  <si>
    <t>31.12.2024</t>
  </si>
  <si>
    <t>05.01.2025</t>
  </si>
  <si>
    <t>19.01.2025</t>
  </si>
  <si>
    <t>26.01.2025</t>
  </si>
  <si>
    <t>02.02.2025</t>
  </si>
  <si>
    <t>27.02.2025</t>
  </si>
  <si>
    <t>02.03.2025</t>
  </si>
  <si>
    <t>09.03.2025</t>
  </si>
  <si>
    <t>16.03.2025</t>
  </si>
  <si>
    <t>18.03.2025</t>
  </si>
  <si>
    <t>23.03.2025</t>
  </si>
  <si>
    <t>04.04.2025</t>
  </si>
  <si>
    <t>06.04.2025</t>
  </si>
  <si>
    <t>13.04.2025</t>
  </si>
  <si>
    <t>20.04.2025</t>
  </si>
  <si>
    <t>27.04.2025</t>
  </si>
  <si>
    <t>04.05.2025</t>
  </si>
  <si>
    <t>10.05.2025</t>
  </si>
  <si>
    <t>18.05.2025</t>
  </si>
  <si>
    <t>25.05.2025</t>
  </si>
  <si>
    <t>01.06.2025</t>
  </si>
  <si>
    <t>08.06.2025</t>
  </si>
  <si>
    <t>15.06.2025</t>
  </si>
  <si>
    <t>22.06.2025</t>
  </si>
  <si>
    <t>29.06.2025</t>
  </si>
  <si>
    <t>20.07.2025</t>
  </si>
  <si>
    <t>27.07.2025</t>
  </si>
  <si>
    <t>03.08.2025</t>
  </si>
  <si>
    <t>10.08.2025</t>
  </si>
  <si>
    <t>17.08.2025</t>
  </si>
  <si>
    <t>31.08.2025</t>
  </si>
  <si>
    <t>07.09.2025</t>
  </si>
  <si>
    <t>14.09.2025</t>
  </si>
  <si>
    <t>21.09.2025</t>
  </si>
  <si>
    <t>28.09.2025</t>
  </si>
  <si>
    <t>05.10.2025</t>
  </si>
  <si>
    <t>12.10.2025</t>
  </si>
  <si>
    <t>19.10.2025</t>
  </si>
  <si>
    <t>26.10.2025</t>
  </si>
  <si>
    <t>02.11.2025</t>
  </si>
  <si>
    <t>09.11.2025</t>
  </si>
  <si>
    <t>16.11.2026</t>
  </si>
  <si>
    <t>23.11.2025</t>
  </si>
  <si>
    <t>30.11.2025</t>
  </si>
  <si>
    <t>07.12.2025</t>
  </si>
  <si>
    <t>14.12.2025</t>
  </si>
  <si>
    <t>21.12.2025</t>
  </si>
  <si>
    <t>26.12.2025</t>
  </si>
  <si>
    <t>28.12.2025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</si>
  <si>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</si>
  <si>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</si>
  <si>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</si>
  <si>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</si>
  <si>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</si>
  <si>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</si>
  <si>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</si>
  <si>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648-660</t>
  </si>
  <si>
    <t>27.03.2026</t>
  </si>
  <si>
    <t>28.03.2026</t>
  </si>
  <si>
    <t>29.03.2026</t>
  </si>
  <si>
    <t xml:space="preserve">        I</t>
  </si>
  <si>
    <t>30.03.2026</t>
  </si>
  <si>
    <t>31.03.2026</t>
  </si>
  <si>
    <t>01.04.2026</t>
  </si>
  <si>
    <t>02.04.2026</t>
  </si>
  <si>
    <t>03.04.2026</t>
  </si>
  <si>
    <t>66-72</t>
  </si>
  <si>
    <t>04.04.2026</t>
  </si>
  <si>
    <t>05.04.2026</t>
  </si>
  <si>
    <t>06.04.2026</t>
  </si>
  <si>
    <t xml:space="preserve">         I</t>
  </si>
  <si>
    <t>08.04.2026</t>
  </si>
  <si>
    <t>07.04.2026</t>
  </si>
  <si>
    <t>636-646</t>
  </si>
  <si>
    <t>09.04.2026</t>
  </si>
  <si>
    <t>10.04.2026</t>
  </si>
  <si>
    <t>11.04.2026</t>
  </si>
  <si>
    <t>12.04.2026</t>
  </si>
  <si>
    <t xml:space="preserve">         I  </t>
  </si>
  <si>
    <t>13.04.2026</t>
  </si>
  <si>
    <t>14.04.2026</t>
  </si>
  <si>
    <t>15.04.2026</t>
  </si>
  <si>
    <t>16.04.2026</t>
  </si>
  <si>
    <t>17.04.2026</t>
  </si>
  <si>
    <t>18.04.2026</t>
  </si>
  <si>
    <t>628-660</t>
  </si>
  <si>
    <t>19.04.2026</t>
  </si>
  <si>
    <t>20.04.2026</t>
  </si>
  <si>
    <t>21.04.2026</t>
  </si>
  <si>
    <t>1.32-2.40</t>
  </si>
  <si>
    <t>22.04.2026</t>
  </si>
  <si>
    <t>23.04.2026</t>
  </si>
  <si>
    <t>24.04.2026</t>
  </si>
  <si>
    <t>1.23-1.61</t>
  </si>
  <si>
    <t>25.04.2026</t>
  </si>
  <si>
    <t>26.04.2026</t>
  </si>
  <si>
    <t>27.04.2026</t>
  </si>
  <si>
    <t>PURE SALT</t>
  </si>
  <si>
    <t>Ca(%)</t>
  </si>
  <si>
    <t>Mg(%)</t>
  </si>
  <si>
    <t>Ca (gpl)</t>
  </si>
  <si>
    <t>Mg (gpl)</t>
  </si>
  <si>
    <t>so4(gpl)</t>
  </si>
  <si>
    <t>NaCl(gpl)</t>
  </si>
  <si>
    <t>PURIFIED BRINE</t>
  </si>
  <si>
    <t>28.04.2026</t>
  </si>
  <si>
    <t>29.04.2026</t>
  </si>
  <si>
    <t>30.04.2026</t>
  </si>
  <si>
    <t>01.05.2026</t>
  </si>
  <si>
    <t>02.05.2026</t>
  </si>
  <si>
    <t>03.05.2026</t>
  </si>
  <si>
    <t xml:space="preserve">         I           </t>
  </si>
  <si>
    <t>04.05.2026</t>
  </si>
  <si>
    <t>05.05.2026</t>
  </si>
  <si>
    <t xml:space="preserve"> NIL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</si>
  <si>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</si>
  <si>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</si>
  <si>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</si>
  <si>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</si>
  <si>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</si>
  <si>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</si>
  <si>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</si>
  <si>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</si>
  <si>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</si>
  <si>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</si>
  <si>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</si>
  <si>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</si>
  <si>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</si>
  <si>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</si>
  <si>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</si>
  <si>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</si>
  <si>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</si>
  <si>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</si>
  <si>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</si>
  <si>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</si>
  <si>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</si>
  <si>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CL (ppm)</t>
  </si>
  <si>
    <t>FN</t>
  </si>
  <si>
    <t>CN</t>
  </si>
  <si>
    <t>TK431  (kgmol/m3)</t>
  </si>
  <si>
    <t>27.05.2026</t>
  </si>
  <si>
    <t>WASH WATER</t>
  </si>
  <si>
    <t>NA2CO3 g/l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</si>
  <si>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</si>
  <si>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</si>
  <si>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</si>
  <si>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</si>
  <si>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</si>
  <si>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</si>
  <si>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</si>
  <si>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1.17-2.16</t>
  </si>
  <si>
    <t>04.06.2026</t>
  </si>
  <si>
    <t>05.06.2026</t>
  </si>
  <si>
    <t>06.06.2026</t>
  </si>
  <si>
    <t>07.06.2026</t>
  </si>
  <si>
    <t>08.06.2026</t>
  </si>
  <si>
    <t>68-100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</si>
  <si>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</si>
  <si>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</si>
  <si>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</si>
  <si>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</si>
  <si>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</si>
  <si>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</si>
  <si>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</si>
  <si>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</si>
  <si>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1.11-2.34</t>
  </si>
  <si>
    <t>17.06.2026</t>
  </si>
  <si>
    <t>20.06.2026</t>
  </si>
  <si>
    <t>21.06.2026</t>
  </si>
  <si>
    <t>22.06.2026</t>
  </si>
  <si>
    <t>23.06.2026</t>
  </si>
  <si>
    <t>24.06.2026</t>
  </si>
  <si>
    <t>80-88</t>
  </si>
  <si>
    <t>25.06.2026</t>
  </si>
  <si>
    <t>660-668</t>
  </si>
  <si>
    <t>80-103</t>
  </si>
  <si>
    <t>26.06.2026</t>
  </si>
  <si>
    <t>27.06.2026</t>
  </si>
  <si>
    <t>28.06.2026</t>
  </si>
  <si>
    <t>28..4</t>
  </si>
  <si>
    <t>29.06.2026</t>
  </si>
  <si>
    <t>30.06.2026</t>
  </si>
  <si>
    <t>01.07.2026</t>
  </si>
  <si>
    <t>02.07.2026</t>
  </si>
  <si>
    <t>03.07.2026</t>
  </si>
  <si>
    <t>86-92</t>
  </si>
  <si>
    <t>04.07.2026</t>
  </si>
  <si>
    <t>05.07.2026</t>
  </si>
  <si>
    <t>06.07.2026</t>
  </si>
  <si>
    <t>07.07.2026</t>
  </si>
  <si>
    <t>72-100</t>
  </si>
  <si>
    <t>08.07.2026</t>
  </si>
  <si>
    <t>09.07.2026</t>
  </si>
  <si>
    <t>11.07.2026</t>
  </si>
  <si>
    <t>10.07.2026</t>
  </si>
  <si>
    <t>12.07.2026</t>
  </si>
  <si>
    <t>13.07.2026</t>
  </si>
  <si>
    <t>14.07.2026</t>
  </si>
  <si>
    <t>15.07.2026</t>
  </si>
  <si>
    <t>16.07.2026</t>
  </si>
  <si>
    <t>19.07.2026</t>
  </si>
  <si>
    <t>18.07.2026</t>
  </si>
  <si>
    <t>17.07.2026</t>
  </si>
  <si>
    <t>20.07.2026</t>
  </si>
  <si>
    <t>610-656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</si>
  <si>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</si>
  <si>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</si>
  <si>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</si>
  <si>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</si>
  <si>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</si>
  <si>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</si>
  <si>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</si>
  <si>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</si>
  <si>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85-98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</si>
  <si>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</si>
  <si>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</si>
  <si>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</si>
  <si>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</si>
  <si>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</si>
  <si>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</si>
  <si>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</si>
  <si>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638-660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</si>
  <si>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</si>
  <si>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</si>
  <si>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</si>
  <si>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</si>
  <si>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</si>
  <si>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</si>
  <si>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</si>
  <si>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90-114</t>
  </si>
  <si>
    <t>500-750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</si>
  <si>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</si>
  <si>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</si>
  <si>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</si>
  <si>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</si>
  <si>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</si>
  <si>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</si>
  <si>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</si>
  <si>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</si>
  <si>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</si>
  <si>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</si>
  <si>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</si>
  <si>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</si>
  <si>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</si>
  <si>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</si>
  <si>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</si>
  <si>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</si>
  <si>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</si>
  <si>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</si>
  <si>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</si>
  <si>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</si>
  <si>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</si>
  <si>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2.00-3.66</t>
  </si>
  <si>
    <t>68-95</t>
  </si>
  <si>
    <t>1.81-3.51</t>
  </si>
  <si>
    <t>628-634</t>
  </si>
  <si>
    <t>88-98</t>
  </si>
  <si>
    <t>1.46-2.48</t>
  </si>
  <si>
    <t>68-110</t>
  </si>
  <si>
    <t>02.09.2026</t>
  </si>
  <si>
    <t>660-676</t>
  </si>
  <si>
    <t>108-152</t>
  </si>
  <si>
    <t>2.19-2.25</t>
  </si>
  <si>
    <t>672-684</t>
  </si>
  <si>
    <t>104-110</t>
  </si>
  <si>
    <t>1.32-3.1</t>
  </si>
  <si>
    <t>79-120</t>
  </si>
  <si>
    <t>03.09.2026</t>
  </si>
  <si>
    <t xml:space="preserve">         </t>
  </si>
  <si>
    <t>1.08-1.72</t>
  </si>
  <si>
    <t>96-118</t>
  </si>
  <si>
    <t>04.09.2026</t>
  </si>
  <si>
    <t>1.40-3.50</t>
  </si>
  <si>
    <t>50-86</t>
  </si>
  <si>
    <t>1.55-3.04</t>
  </si>
  <si>
    <t>1.52-3.36</t>
  </si>
  <si>
    <t>82-98</t>
  </si>
  <si>
    <t>05.09.2026</t>
  </si>
  <si>
    <t>1.46-3.65</t>
  </si>
  <si>
    <t>598-610</t>
  </si>
  <si>
    <t>0.88-1.58</t>
  </si>
  <si>
    <t>604-642</t>
  </si>
  <si>
    <t>92-126</t>
  </si>
  <si>
    <t>0.91-5.26</t>
  </si>
  <si>
    <t>90-126</t>
  </si>
  <si>
    <t>06.09.2026</t>
  </si>
  <si>
    <t>1.46-2.28</t>
  </si>
  <si>
    <t>0.82-1.48</t>
  </si>
  <si>
    <t>1.45-2.18</t>
  </si>
  <si>
    <t>84-90</t>
  </si>
  <si>
    <t>07.09.2026</t>
  </si>
  <si>
    <t>1.75-2.28</t>
  </si>
  <si>
    <t>50-118</t>
  </si>
  <si>
    <t>1.81-3.50</t>
  </si>
  <si>
    <t>624-668</t>
  </si>
  <si>
    <t>1.18-1.93</t>
  </si>
  <si>
    <t>62-100</t>
  </si>
  <si>
    <t>08.09.2026</t>
  </si>
  <si>
    <t>1.4-1.99</t>
  </si>
  <si>
    <t>628-664</t>
  </si>
  <si>
    <t>1.34-2.16</t>
  </si>
  <si>
    <t>630-672</t>
  </si>
  <si>
    <t>1.61-2.34</t>
  </si>
  <si>
    <t>622-640</t>
  </si>
  <si>
    <t>09.09.2026</t>
  </si>
  <si>
    <t>1.34-2.61</t>
  </si>
  <si>
    <t>69-90</t>
  </si>
  <si>
    <t>1.37-2.92</t>
  </si>
  <si>
    <t>82-115</t>
  </si>
  <si>
    <t>1.02-1.60</t>
  </si>
  <si>
    <t>630-674</t>
  </si>
  <si>
    <t>10.09.2026</t>
  </si>
  <si>
    <t>1.05-2.33</t>
  </si>
  <si>
    <t>656-670</t>
  </si>
  <si>
    <t>0.98-2.45</t>
  </si>
  <si>
    <t>86-160</t>
  </si>
  <si>
    <t>1.1-1.6</t>
  </si>
  <si>
    <t>.60-1.31</t>
  </si>
  <si>
    <t>670-695</t>
  </si>
  <si>
    <t>75-85</t>
  </si>
  <si>
    <t>1.37-1.52</t>
  </si>
  <si>
    <t>11.09.2026</t>
  </si>
  <si>
    <t>12.09.2026</t>
  </si>
  <si>
    <t>1.11-2.48</t>
  </si>
  <si>
    <t>630-668</t>
  </si>
  <si>
    <t>62-104</t>
  </si>
  <si>
    <t>2.04-2.86</t>
  </si>
  <si>
    <t>656-684</t>
  </si>
  <si>
    <t>84-106</t>
  </si>
  <si>
    <t>1.61-3.51</t>
  </si>
  <si>
    <t>118-350</t>
  </si>
  <si>
    <t>13.09.2026</t>
  </si>
  <si>
    <t>0.82-2.22</t>
  </si>
  <si>
    <t>1.11-1.81</t>
  </si>
  <si>
    <t>100-166</t>
  </si>
  <si>
    <t>92-170</t>
  </si>
  <si>
    <t>14.09.2026</t>
  </si>
  <si>
    <t>1.46-2.55</t>
  </si>
  <si>
    <t>88-140</t>
  </si>
  <si>
    <t>2.36-3.56</t>
  </si>
  <si>
    <t>78-156</t>
  </si>
  <si>
    <t>1.98-2.74</t>
  </si>
  <si>
    <t>98-126</t>
  </si>
  <si>
    <t>15.09.2026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</si>
</sst>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1"/>
      <color rgb="FF660066"/>
      <name val="Calibri"/>
      <family val="2"/>
      <scheme val="minor"/>
    </font>
    <font>
      <b/>
      <sz val="11"/>
      <color rgb="FF660066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b/>
      <sz val="11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9848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</cellStyleXfs>
  <cellXfs count="244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2" fontId="8" fillId="6" borderId="8" xfId="0" applyNumberFormat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3" borderId="8" xfId="0" applyNumberFormat="1" applyFont="1" applyFill="1" applyBorder="1" applyAlignment="1">
      <alignment horizontal="center" vertical="center"/>
    </xf>
    <xf numFmtId="2" fontId="0" fillId="0" borderId="8" xfId="0" applyNumberFormat="1" applyFont="1" applyFill="1" applyBorder="1" applyAlignment="1">
      <alignment horizontal="center" vertical="center"/>
    </xf>
    <xf numFmtId="164" fontId="0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8" xfId="0" applyNumberFormat="1" applyFont="1" applyBorder="1" applyAlignment="1">
      <alignment horizontal="center" vertical="center"/>
    </xf>
    <xf numFmtId="0" fontId="0" fillId="0" borderId="8" xfId="0" quotePrefix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Font="1" applyBorder="1" applyAlignment="1">
      <alignment horizontal="center" vertical="center"/>
    </xf>
    <xf numFmtId="2" fontId="0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vertical="center"/>
    </xf>
    <xf numFmtId="2" fontId="4" fillId="8" borderId="8" xfId="0" applyNumberFormat="1" applyFont="1" applyFill="1" applyBorder="1" applyAlignment="1">
      <alignment horizontal="center" vertical="center"/>
    </xf>
    <xf numFmtId="2" fontId="0" fillId="8" borderId="8" xfId="0" applyNumberFormat="1" applyFont="1" applyFill="1" applyBorder="1" applyAlignment="1">
      <alignment horizontal="center" vertical="center"/>
    </xf>
    <xf numFmtId="2" fontId="0" fillId="8" borderId="8" xfId="0" applyNumberFormat="1" applyFont="1" applyFill="1" applyBorder="1" applyAlignment="1">
      <alignment horizontal="center"/>
    </xf>
    <xf numFmtId="0" fontId="0" fillId="8" borderId="8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vertical="center"/>
    </xf>
    <xf numFmtId="0" fontId="0" fillId="0" borderId="8" xfId="0" applyFon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" fontId="0" fillId="7" borderId="8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2" fontId="4" fillId="8" borderId="6" xfId="0" applyNumberFormat="1" applyFont="1" applyFill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0" fontId="0" fillId="0" borderId="5" xfId="0" applyBorder="1"/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8" borderId="2" xfId="0" applyFont="1" applyFill="1" applyBorder="1" applyAlignment="1">
      <alignment vertical="center"/>
    </xf>
    <xf numFmtId="0" fontId="0" fillId="8" borderId="4" xfId="0" applyFont="1" applyFill="1" applyBorder="1" applyAlignment="1">
      <alignment vertical="center"/>
    </xf>
    <xf numFmtId="0" fontId="0" fillId="0" borderId="6" xfId="0" applyBorder="1"/>
    <xf numFmtId="4" fontId="0" fillId="0" borderId="2" xfId="0" applyNumberFormat="1" applyFont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8" borderId="1" xfId="0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4" fillId="8" borderId="8" xfId="0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 shrinkToFit="1" readingOrder="1"/>
    </xf>
    <xf numFmtId="0" fontId="9" fillId="6" borderId="6" xfId="0" applyFont="1" applyFill="1" applyBorder="1" applyAlignment="1">
      <alignment horizontal="center" vertical="center" wrapText="1" shrinkToFit="1" readingOrder="1"/>
    </xf>
    <xf numFmtId="0" fontId="1" fillId="2" borderId="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4">
    <cellStyle name="Comma 2" xfId="1"/>
    <cellStyle name="Comma 2 2" xfId="2"/>
    <cellStyle name="Normal" xfId="0" builtinId="0"/>
    <cellStyle name="Normal 2" xfId="3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"/>
  <sheetViews>
    <sheetView workbookViewId="0">
      <pane ySplit="5" topLeftCell="A118" activePane="bottomLeft" state="frozen"/>
      <selection pane="bottomLeft" activeCell="F134" sqref="F134"/>
    </sheetView>
  </sheetViews>
  <sheetFormatPr defaultRowHeight="14.4" x14ac:dyDescent="0.3"/>
  <cols>
    <col min="1" max="1" width="12" style="85" customWidth="1"/>
    <col min="2" max="4" width="9.109375" style="85"/>
    <col min="5" max="5" width="10.33203125" style="85" customWidth="1"/>
    <col min="6" max="11" width="9.109375" style="85"/>
    <col min="12" max="12" width="12" style="85" customWidth="1"/>
  </cols>
  <sheetData>
    <row r="1" spans="1:12" x14ac:dyDescent="0.3">
      <c r="A1" s="181" t="s">
        <v>0</v>
      </c>
      <c r="B1" s="181" t="s">
        <v>1</v>
      </c>
      <c r="C1" s="181" t="s">
        <v>89</v>
      </c>
      <c r="D1" s="181"/>
      <c r="E1" s="181"/>
      <c r="F1" s="181" t="s">
        <v>90</v>
      </c>
      <c r="G1" s="181"/>
      <c r="H1" s="181"/>
      <c r="I1" s="181" t="s">
        <v>91</v>
      </c>
      <c r="J1" s="181"/>
      <c r="K1" s="181"/>
      <c r="L1" s="181"/>
    </row>
    <row r="2" spans="1:12" ht="28.8" x14ac:dyDescent="0.3">
      <c r="A2" s="181"/>
      <c r="B2" s="181"/>
      <c r="C2" s="83" t="s">
        <v>92</v>
      </c>
      <c r="D2" s="83" t="s">
        <v>93</v>
      </c>
      <c r="E2" s="83" t="s">
        <v>94</v>
      </c>
      <c r="F2" s="83" t="s">
        <v>92</v>
      </c>
      <c r="G2" s="83" t="s">
        <v>93</v>
      </c>
      <c r="H2" s="83" t="s">
        <v>94</v>
      </c>
      <c r="I2" s="83" t="s">
        <v>92</v>
      </c>
      <c r="J2" s="83" t="s">
        <v>93</v>
      </c>
      <c r="K2" s="83" t="s">
        <v>94</v>
      </c>
      <c r="L2" s="181" t="s">
        <v>38</v>
      </c>
    </row>
    <row r="3" spans="1:12" x14ac:dyDescent="0.3">
      <c r="A3" s="181"/>
      <c r="B3" s="181"/>
      <c r="C3" s="83" t="s">
        <v>95</v>
      </c>
      <c r="D3" s="83" t="s">
        <v>95</v>
      </c>
      <c r="E3" s="83" t="s">
        <v>95</v>
      </c>
      <c r="F3" s="83" t="s">
        <v>95</v>
      </c>
      <c r="G3" s="83" t="s">
        <v>95</v>
      </c>
      <c r="H3" s="83" t="s">
        <v>95</v>
      </c>
      <c r="I3" s="83" t="s">
        <v>95</v>
      </c>
      <c r="J3" s="83" t="s">
        <v>95</v>
      </c>
      <c r="K3" s="83" t="s">
        <v>95</v>
      </c>
      <c r="L3" s="181"/>
    </row>
    <row r="4" spans="1:12" ht="15.75" thickBot="1" x14ac:dyDescent="0.3">
      <c r="A4" s="67" t="s">
        <v>87</v>
      </c>
      <c r="B4" s="68"/>
      <c r="C4" s="68"/>
      <c r="D4" s="68"/>
      <c r="E4" s="68"/>
      <c r="F4" s="68" t="s">
        <v>211</v>
      </c>
      <c r="G4" s="68"/>
      <c r="H4" s="68">
        <v>160</v>
      </c>
      <c r="I4" s="68"/>
      <c r="J4" s="68"/>
      <c r="K4" s="68">
        <v>40</v>
      </c>
      <c r="L4" s="68"/>
    </row>
    <row r="5" spans="1:12" ht="30" x14ac:dyDescent="0.25">
      <c r="A5" s="69" t="s">
        <v>212</v>
      </c>
      <c r="B5" s="70"/>
      <c r="C5" s="70"/>
      <c r="D5" s="70"/>
      <c r="E5" s="70"/>
      <c r="F5" s="70" t="s">
        <v>211</v>
      </c>
      <c r="G5" s="71"/>
      <c r="H5" s="71" t="s">
        <v>213</v>
      </c>
      <c r="I5" s="71"/>
      <c r="J5" s="70"/>
      <c r="K5" s="70" t="s">
        <v>214</v>
      </c>
      <c r="L5" s="70"/>
    </row>
    <row r="6" spans="1:12" ht="15" x14ac:dyDescent="0.25">
      <c r="A6" s="83" t="s">
        <v>215</v>
      </c>
      <c r="B6" s="83" t="s">
        <v>103</v>
      </c>
      <c r="C6" s="83">
        <v>560</v>
      </c>
      <c r="D6" s="83">
        <v>526</v>
      </c>
      <c r="E6" s="83">
        <v>1086</v>
      </c>
      <c r="F6" s="83">
        <v>314</v>
      </c>
      <c r="G6" s="86">
        <v>504</v>
      </c>
      <c r="H6" s="86">
        <v>818</v>
      </c>
      <c r="I6" s="86">
        <v>100</v>
      </c>
      <c r="J6" s="86">
        <v>224</v>
      </c>
      <c r="K6" s="83">
        <v>324</v>
      </c>
      <c r="L6" s="83"/>
    </row>
    <row r="7" spans="1:12" ht="15" x14ac:dyDescent="0.25">
      <c r="A7" s="83" t="s">
        <v>216</v>
      </c>
      <c r="B7" s="83" t="s">
        <v>85</v>
      </c>
      <c r="C7" s="83">
        <v>532</v>
      </c>
      <c r="D7" s="83">
        <v>582</v>
      </c>
      <c r="E7" s="83">
        <v>1114</v>
      </c>
      <c r="F7" s="83">
        <v>291</v>
      </c>
      <c r="G7" s="86">
        <v>370</v>
      </c>
      <c r="H7" s="86">
        <v>661</v>
      </c>
      <c r="I7" s="86">
        <v>22</v>
      </c>
      <c r="J7" s="86">
        <v>157</v>
      </c>
      <c r="K7" s="83">
        <v>179</v>
      </c>
      <c r="L7" s="83"/>
    </row>
    <row r="8" spans="1:12" ht="15" x14ac:dyDescent="0.25">
      <c r="A8" s="83" t="s">
        <v>217</v>
      </c>
      <c r="B8" s="83" t="s">
        <v>85</v>
      </c>
      <c r="C8" s="83">
        <v>510</v>
      </c>
      <c r="D8" s="83">
        <v>515</v>
      </c>
      <c r="E8" s="83">
        <v>1025</v>
      </c>
      <c r="F8" s="83">
        <v>476</v>
      </c>
      <c r="G8" s="86">
        <v>498</v>
      </c>
      <c r="H8" s="86">
        <v>974</v>
      </c>
      <c r="I8" s="86" t="s">
        <v>86</v>
      </c>
      <c r="J8" s="86">
        <v>185</v>
      </c>
      <c r="K8" s="83">
        <v>185</v>
      </c>
      <c r="L8" s="83"/>
    </row>
    <row r="9" spans="1:12" ht="15" x14ac:dyDescent="0.25">
      <c r="A9" s="83"/>
      <c r="B9" s="83" t="s">
        <v>102</v>
      </c>
      <c r="C9" s="83">
        <v>795</v>
      </c>
      <c r="D9" s="83">
        <v>969</v>
      </c>
      <c r="E9" s="83">
        <v>1764</v>
      </c>
      <c r="F9" s="83">
        <v>588</v>
      </c>
      <c r="G9" s="86">
        <v>700</v>
      </c>
      <c r="H9" s="86">
        <v>1288</v>
      </c>
      <c r="I9" s="86">
        <v>17</v>
      </c>
      <c r="J9" s="86">
        <v>151</v>
      </c>
      <c r="K9" s="83">
        <v>168</v>
      </c>
      <c r="L9" s="83"/>
    </row>
    <row r="10" spans="1:12" ht="15" x14ac:dyDescent="0.25">
      <c r="A10" s="83"/>
      <c r="B10" s="83" t="s">
        <v>103</v>
      </c>
      <c r="C10" s="83">
        <v>224</v>
      </c>
      <c r="D10" s="83">
        <v>896</v>
      </c>
      <c r="E10" s="83">
        <v>1120</v>
      </c>
      <c r="F10" s="83">
        <v>190</v>
      </c>
      <c r="G10" s="86">
        <v>482</v>
      </c>
      <c r="H10" s="86">
        <v>672</v>
      </c>
      <c r="I10" s="86">
        <v>34</v>
      </c>
      <c r="J10" s="86">
        <v>347</v>
      </c>
      <c r="K10" s="83">
        <v>381</v>
      </c>
      <c r="L10" s="83"/>
    </row>
    <row r="11" spans="1:12" ht="15" x14ac:dyDescent="0.25">
      <c r="A11" s="83" t="s">
        <v>218</v>
      </c>
      <c r="B11" s="83" t="s">
        <v>85</v>
      </c>
      <c r="C11" s="83">
        <v>650</v>
      </c>
      <c r="D11" s="83">
        <v>784</v>
      </c>
      <c r="E11" s="83">
        <v>1434</v>
      </c>
      <c r="F11" s="83">
        <v>560</v>
      </c>
      <c r="G11" s="86">
        <v>728</v>
      </c>
      <c r="H11" s="86">
        <v>1288</v>
      </c>
      <c r="I11" s="86">
        <v>90</v>
      </c>
      <c r="J11" s="86">
        <v>302</v>
      </c>
      <c r="K11" s="83">
        <v>392</v>
      </c>
      <c r="L11" s="83"/>
    </row>
    <row r="12" spans="1:12" ht="15" x14ac:dyDescent="0.25">
      <c r="A12" s="83"/>
      <c r="B12" s="83" t="s">
        <v>102</v>
      </c>
      <c r="C12" s="83">
        <v>650</v>
      </c>
      <c r="D12" s="83">
        <v>780</v>
      </c>
      <c r="E12" s="83">
        <v>1430</v>
      </c>
      <c r="F12" s="83">
        <v>605</v>
      </c>
      <c r="G12" s="86">
        <v>762</v>
      </c>
      <c r="H12" s="86">
        <v>1367</v>
      </c>
      <c r="I12" s="86">
        <v>84</v>
      </c>
      <c r="J12" s="86">
        <v>246</v>
      </c>
      <c r="K12" s="83">
        <v>330</v>
      </c>
      <c r="L12" s="83"/>
    </row>
    <row r="13" spans="1:12" ht="15" x14ac:dyDescent="0.25">
      <c r="A13" s="83"/>
      <c r="B13" s="83" t="s">
        <v>103</v>
      </c>
      <c r="C13" s="83">
        <v>448</v>
      </c>
      <c r="D13" s="83">
        <v>708</v>
      </c>
      <c r="E13" s="83">
        <v>1154</v>
      </c>
      <c r="F13" s="83">
        <v>401</v>
      </c>
      <c r="G13" s="86">
        <v>672</v>
      </c>
      <c r="H13" s="86">
        <v>1073</v>
      </c>
      <c r="I13" s="86">
        <v>45</v>
      </c>
      <c r="J13" s="86">
        <v>190</v>
      </c>
      <c r="K13" s="83">
        <v>235</v>
      </c>
      <c r="L13" s="83"/>
    </row>
    <row r="14" spans="1:12" ht="15" x14ac:dyDescent="0.25">
      <c r="A14" s="83" t="s">
        <v>219</v>
      </c>
      <c r="B14" s="83" t="s">
        <v>85</v>
      </c>
      <c r="C14" s="83">
        <v>482</v>
      </c>
      <c r="D14" s="83">
        <v>605</v>
      </c>
      <c r="E14" s="83">
        <v>1087</v>
      </c>
      <c r="F14" s="83">
        <v>627</v>
      </c>
      <c r="G14" s="86">
        <v>918</v>
      </c>
      <c r="H14" s="86">
        <v>1545</v>
      </c>
      <c r="I14" s="86">
        <v>90</v>
      </c>
      <c r="J14" s="86">
        <v>224</v>
      </c>
      <c r="K14" s="83">
        <v>314</v>
      </c>
      <c r="L14" s="83"/>
    </row>
    <row r="15" spans="1:12" ht="15" x14ac:dyDescent="0.25">
      <c r="A15" s="83"/>
      <c r="B15" s="83" t="s">
        <v>102</v>
      </c>
      <c r="C15" s="83">
        <v>616</v>
      </c>
      <c r="D15" s="83">
        <v>717</v>
      </c>
      <c r="E15" s="83">
        <v>1333</v>
      </c>
      <c r="F15" s="83">
        <v>707</v>
      </c>
      <c r="G15" s="86">
        <v>928</v>
      </c>
      <c r="H15" s="86">
        <v>1635</v>
      </c>
      <c r="I15" s="86">
        <v>56</v>
      </c>
      <c r="J15" s="86">
        <v>235</v>
      </c>
      <c r="K15" s="83">
        <v>291</v>
      </c>
      <c r="L15" s="83"/>
    </row>
    <row r="16" spans="1:12" ht="15" x14ac:dyDescent="0.25">
      <c r="A16" s="83"/>
      <c r="B16" s="83" t="s">
        <v>103</v>
      </c>
      <c r="C16" s="83">
        <v>680</v>
      </c>
      <c r="D16" s="83">
        <v>896</v>
      </c>
      <c r="E16" s="83">
        <v>1576</v>
      </c>
      <c r="F16" s="83">
        <v>751</v>
      </c>
      <c r="G16" s="86">
        <v>918</v>
      </c>
      <c r="H16" s="86">
        <v>1669</v>
      </c>
      <c r="I16" s="86">
        <v>56</v>
      </c>
      <c r="J16" s="86">
        <v>246</v>
      </c>
      <c r="K16" s="83">
        <v>302</v>
      </c>
      <c r="L16" s="83"/>
    </row>
    <row r="17" spans="1:12" ht="15" x14ac:dyDescent="0.25">
      <c r="A17" s="87" t="s">
        <v>220</v>
      </c>
      <c r="B17" s="83" t="s">
        <v>85</v>
      </c>
      <c r="C17" s="83">
        <v>291</v>
      </c>
      <c r="D17" s="83">
        <v>90</v>
      </c>
      <c r="E17" s="83">
        <v>381</v>
      </c>
      <c r="F17" s="83">
        <v>252</v>
      </c>
      <c r="G17" s="86">
        <v>67</v>
      </c>
      <c r="H17" s="86">
        <v>319</v>
      </c>
      <c r="I17" s="86">
        <v>213</v>
      </c>
      <c r="J17" s="86">
        <v>22</v>
      </c>
      <c r="K17" s="83">
        <v>235</v>
      </c>
      <c r="L17" s="83" t="s">
        <v>221</v>
      </c>
    </row>
    <row r="18" spans="1:12" ht="15" x14ac:dyDescent="0.25">
      <c r="A18" s="87" t="s">
        <v>222</v>
      </c>
      <c r="B18" s="83" t="s">
        <v>85</v>
      </c>
      <c r="C18" s="83"/>
      <c r="D18" s="83"/>
      <c r="E18" s="83">
        <v>1165</v>
      </c>
      <c r="F18" s="83"/>
      <c r="G18" s="86"/>
      <c r="H18" s="86">
        <v>1181</v>
      </c>
      <c r="I18" s="86"/>
      <c r="J18" s="86"/>
      <c r="K18" s="83">
        <v>1008</v>
      </c>
      <c r="L18" s="83" t="s">
        <v>223</v>
      </c>
    </row>
    <row r="19" spans="1:12" ht="15" x14ac:dyDescent="0.25">
      <c r="A19" s="87"/>
      <c r="B19" s="83" t="s">
        <v>85</v>
      </c>
      <c r="C19" s="83"/>
      <c r="D19" s="83"/>
      <c r="E19" s="83">
        <v>1053</v>
      </c>
      <c r="F19" s="83"/>
      <c r="G19" s="86"/>
      <c r="H19" s="86">
        <v>1176</v>
      </c>
      <c r="I19" s="86"/>
      <c r="J19" s="86"/>
      <c r="K19" s="83">
        <v>336</v>
      </c>
      <c r="L19" s="83">
        <v>210</v>
      </c>
    </row>
    <row r="20" spans="1:12" ht="15" x14ac:dyDescent="0.25">
      <c r="A20" s="87"/>
      <c r="B20" s="83" t="s">
        <v>102</v>
      </c>
      <c r="C20" s="83">
        <v>448</v>
      </c>
      <c r="D20" s="83">
        <v>336</v>
      </c>
      <c r="E20" s="83">
        <v>784</v>
      </c>
      <c r="F20" s="83"/>
      <c r="G20" s="86"/>
      <c r="H20" s="86"/>
      <c r="I20" s="86">
        <v>168</v>
      </c>
      <c r="J20" s="86">
        <v>252</v>
      </c>
      <c r="K20" s="83">
        <v>420</v>
      </c>
      <c r="L20" s="83" t="s">
        <v>224</v>
      </c>
    </row>
    <row r="21" spans="1:12" ht="15" x14ac:dyDescent="0.25">
      <c r="A21" s="87" t="s">
        <v>225</v>
      </c>
      <c r="B21" s="83" t="s">
        <v>85</v>
      </c>
      <c r="C21" s="83">
        <v>246</v>
      </c>
      <c r="D21" s="83">
        <v>515</v>
      </c>
      <c r="E21" s="83">
        <v>762</v>
      </c>
      <c r="F21" s="83">
        <v>308</v>
      </c>
      <c r="G21" s="86">
        <v>616</v>
      </c>
      <c r="H21" s="86">
        <v>924</v>
      </c>
      <c r="I21" s="86">
        <v>103</v>
      </c>
      <c r="J21" s="86">
        <v>116</v>
      </c>
      <c r="K21" s="83">
        <v>219</v>
      </c>
      <c r="L21" s="83" t="s">
        <v>226</v>
      </c>
    </row>
    <row r="22" spans="1:12" ht="15" x14ac:dyDescent="0.25">
      <c r="A22" s="87" t="s">
        <v>227</v>
      </c>
      <c r="B22" s="83" t="s">
        <v>85</v>
      </c>
      <c r="C22" s="83"/>
      <c r="D22" s="83"/>
      <c r="E22" s="83"/>
      <c r="F22" s="83">
        <v>694</v>
      </c>
      <c r="G22" s="86">
        <v>818</v>
      </c>
      <c r="H22" s="86">
        <v>1512</v>
      </c>
      <c r="I22" s="86">
        <v>280</v>
      </c>
      <c r="J22" s="86">
        <v>314</v>
      </c>
      <c r="K22" s="83">
        <v>594</v>
      </c>
      <c r="L22" s="83" t="s">
        <v>228</v>
      </c>
    </row>
    <row r="23" spans="1:12" ht="15" x14ac:dyDescent="0.25">
      <c r="A23" s="87"/>
      <c r="B23" s="83" t="s">
        <v>102</v>
      </c>
      <c r="C23" s="83"/>
      <c r="D23" s="83"/>
      <c r="E23" s="83"/>
      <c r="F23" s="83">
        <v>812</v>
      </c>
      <c r="G23" s="86">
        <v>784</v>
      </c>
      <c r="H23" s="86">
        <v>1596</v>
      </c>
      <c r="I23" s="86">
        <v>280</v>
      </c>
      <c r="J23" s="86">
        <v>493</v>
      </c>
      <c r="K23" s="83">
        <v>773</v>
      </c>
      <c r="L23" s="83" t="s">
        <v>229</v>
      </c>
    </row>
    <row r="24" spans="1:12" ht="15" x14ac:dyDescent="0.25">
      <c r="A24" s="87" t="s">
        <v>230</v>
      </c>
      <c r="B24" s="83" t="s">
        <v>85</v>
      </c>
      <c r="C24" s="83">
        <v>1019</v>
      </c>
      <c r="D24" s="83">
        <v>560</v>
      </c>
      <c r="E24" s="83">
        <v>1579</v>
      </c>
      <c r="F24" s="83"/>
      <c r="G24" s="86"/>
      <c r="H24" s="86"/>
      <c r="I24" s="86">
        <v>269</v>
      </c>
      <c r="J24" s="86">
        <v>202</v>
      </c>
      <c r="K24" s="83">
        <v>471</v>
      </c>
      <c r="L24" s="83" t="s">
        <v>231</v>
      </c>
    </row>
    <row r="25" spans="1:12" ht="15" x14ac:dyDescent="0.25">
      <c r="A25" s="87" t="s">
        <v>232</v>
      </c>
      <c r="B25" s="83" t="s">
        <v>102</v>
      </c>
      <c r="C25" s="83">
        <v>403</v>
      </c>
      <c r="D25" s="83">
        <v>577</v>
      </c>
      <c r="E25" s="83">
        <v>980</v>
      </c>
      <c r="F25" s="83">
        <v>319</v>
      </c>
      <c r="G25" s="86">
        <v>353</v>
      </c>
      <c r="H25" s="86">
        <v>672</v>
      </c>
      <c r="I25" s="86">
        <v>39</v>
      </c>
      <c r="J25" s="86">
        <v>112</v>
      </c>
      <c r="K25" s="83">
        <v>151</v>
      </c>
      <c r="L25" s="83" t="s">
        <v>233</v>
      </c>
    </row>
    <row r="26" spans="1:12" ht="15" x14ac:dyDescent="0.25">
      <c r="A26" s="87" t="s">
        <v>234</v>
      </c>
      <c r="B26" s="83" t="s">
        <v>85</v>
      </c>
      <c r="C26" s="83">
        <v>347</v>
      </c>
      <c r="D26" s="83">
        <v>493</v>
      </c>
      <c r="E26" s="83">
        <v>840</v>
      </c>
      <c r="F26" s="83">
        <v>448</v>
      </c>
      <c r="G26" s="86">
        <v>336</v>
      </c>
      <c r="H26" s="86">
        <v>784</v>
      </c>
      <c r="I26" s="86">
        <v>202</v>
      </c>
      <c r="J26" s="86">
        <v>302</v>
      </c>
      <c r="K26" s="83">
        <v>504</v>
      </c>
      <c r="L26" s="83" t="s">
        <v>235</v>
      </c>
    </row>
    <row r="27" spans="1:12" ht="15" x14ac:dyDescent="0.25">
      <c r="A27" s="87" t="s">
        <v>236</v>
      </c>
      <c r="B27" s="83" t="s">
        <v>85</v>
      </c>
      <c r="C27" s="83">
        <v>364</v>
      </c>
      <c r="D27" s="83">
        <v>308</v>
      </c>
      <c r="E27" s="83">
        <v>672</v>
      </c>
      <c r="F27" s="83">
        <v>784</v>
      </c>
      <c r="G27" s="86">
        <v>504</v>
      </c>
      <c r="H27" s="86">
        <v>1288</v>
      </c>
      <c r="I27" s="86">
        <v>157</v>
      </c>
      <c r="J27" s="86">
        <v>56</v>
      </c>
      <c r="K27" s="83">
        <v>213</v>
      </c>
      <c r="L27" s="83">
        <v>24</v>
      </c>
    </row>
    <row r="28" spans="1:12" ht="15" x14ac:dyDescent="0.25">
      <c r="A28" s="87" t="s">
        <v>237</v>
      </c>
      <c r="B28" s="83" t="s">
        <v>85</v>
      </c>
      <c r="C28" s="83">
        <v>370</v>
      </c>
      <c r="D28" s="83">
        <v>605</v>
      </c>
      <c r="E28" s="83">
        <v>975</v>
      </c>
      <c r="F28" s="83">
        <v>470</v>
      </c>
      <c r="G28" s="86">
        <v>426</v>
      </c>
      <c r="H28" s="86">
        <v>896</v>
      </c>
      <c r="I28" s="86">
        <v>140</v>
      </c>
      <c r="J28" s="86">
        <v>129</v>
      </c>
      <c r="K28" s="83">
        <v>269</v>
      </c>
      <c r="L28" s="83">
        <v>34</v>
      </c>
    </row>
    <row r="29" spans="1:12" ht="15" x14ac:dyDescent="0.25">
      <c r="A29" s="87" t="s">
        <v>238</v>
      </c>
      <c r="B29" s="83" t="s">
        <v>102</v>
      </c>
      <c r="C29" s="83">
        <v>672</v>
      </c>
      <c r="D29" s="83">
        <v>1008</v>
      </c>
      <c r="E29" s="83">
        <v>1680</v>
      </c>
      <c r="F29" s="83">
        <v>762</v>
      </c>
      <c r="G29" s="86">
        <v>720</v>
      </c>
      <c r="H29" s="86">
        <v>1482</v>
      </c>
      <c r="I29" s="86">
        <v>78</v>
      </c>
      <c r="J29" s="86">
        <v>129</v>
      </c>
      <c r="K29" s="83">
        <v>207</v>
      </c>
      <c r="L29" s="83">
        <v>39</v>
      </c>
    </row>
    <row r="30" spans="1:12" ht="30" x14ac:dyDescent="0.25">
      <c r="A30" s="87" t="s">
        <v>239</v>
      </c>
      <c r="B30" s="83" t="s">
        <v>85</v>
      </c>
      <c r="C30" s="83">
        <v>370</v>
      </c>
      <c r="D30" s="83">
        <v>280</v>
      </c>
      <c r="E30" s="83">
        <v>650</v>
      </c>
      <c r="F30" s="83">
        <v>167</v>
      </c>
      <c r="G30" s="86">
        <v>234</v>
      </c>
      <c r="H30" s="86">
        <v>401</v>
      </c>
      <c r="I30" s="86">
        <v>134</v>
      </c>
      <c r="J30" s="86">
        <v>78</v>
      </c>
      <c r="K30" s="83">
        <v>212</v>
      </c>
      <c r="L30" s="83" t="s">
        <v>240</v>
      </c>
    </row>
    <row r="31" spans="1:12" ht="15" x14ac:dyDescent="0.25">
      <c r="A31" s="87" t="s">
        <v>241</v>
      </c>
      <c r="B31" s="83" t="s">
        <v>102</v>
      </c>
      <c r="C31" s="83">
        <v>308</v>
      </c>
      <c r="D31" s="83">
        <v>252</v>
      </c>
      <c r="E31" s="83">
        <v>560</v>
      </c>
      <c r="F31" s="83">
        <v>168</v>
      </c>
      <c r="G31" s="86">
        <v>308</v>
      </c>
      <c r="H31" s="86">
        <v>476</v>
      </c>
      <c r="I31" s="86">
        <v>42</v>
      </c>
      <c r="J31" s="86">
        <v>148</v>
      </c>
      <c r="K31" s="83">
        <v>190</v>
      </c>
      <c r="L31" s="83">
        <v>55</v>
      </c>
    </row>
    <row r="32" spans="1:12" ht="15" x14ac:dyDescent="0.25">
      <c r="A32" s="87" t="s">
        <v>242</v>
      </c>
      <c r="B32" s="83" t="s">
        <v>85</v>
      </c>
      <c r="C32" s="83">
        <v>314</v>
      </c>
      <c r="D32" s="83">
        <v>246</v>
      </c>
      <c r="E32" s="83">
        <v>560</v>
      </c>
      <c r="F32" s="83">
        <v>112</v>
      </c>
      <c r="G32" s="86">
        <v>123</v>
      </c>
      <c r="H32" s="86">
        <v>235</v>
      </c>
      <c r="I32" s="86">
        <v>39</v>
      </c>
      <c r="J32" s="86">
        <v>73</v>
      </c>
      <c r="K32" s="83">
        <v>112</v>
      </c>
      <c r="L32" s="83" t="s">
        <v>243</v>
      </c>
    </row>
    <row r="33" spans="1:12" ht="15" x14ac:dyDescent="0.25">
      <c r="A33" s="87" t="s">
        <v>244</v>
      </c>
      <c r="B33" s="83" t="s">
        <v>85</v>
      </c>
      <c r="C33" s="83">
        <v>258</v>
      </c>
      <c r="D33" s="83">
        <v>213</v>
      </c>
      <c r="E33" s="83">
        <v>471</v>
      </c>
      <c r="F33" s="83">
        <v>235</v>
      </c>
      <c r="G33" s="86">
        <v>616</v>
      </c>
      <c r="H33" s="86">
        <v>851</v>
      </c>
      <c r="I33" s="86">
        <v>34</v>
      </c>
      <c r="J33" s="86">
        <v>112</v>
      </c>
      <c r="K33" s="83">
        <v>146</v>
      </c>
      <c r="L33" s="83" t="s">
        <v>233</v>
      </c>
    </row>
    <row r="34" spans="1:12" ht="15" x14ac:dyDescent="0.25">
      <c r="A34" s="87" t="s">
        <v>245</v>
      </c>
      <c r="B34" s="83" t="s">
        <v>102</v>
      </c>
      <c r="C34" s="83">
        <v>930</v>
      </c>
      <c r="D34" s="83">
        <v>885</v>
      </c>
      <c r="E34" s="83">
        <v>1815</v>
      </c>
      <c r="F34" s="83">
        <v>840</v>
      </c>
      <c r="G34" s="86">
        <v>392</v>
      </c>
      <c r="H34" s="86">
        <v>1232</v>
      </c>
      <c r="I34" s="86">
        <v>98</v>
      </c>
      <c r="J34" s="86">
        <v>56</v>
      </c>
      <c r="K34" s="83">
        <v>154</v>
      </c>
      <c r="L34" s="83" t="s">
        <v>246</v>
      </c>
    </row>
    <row r="35" spans="1:12" ht="15" x14ac:dyDescent="0.25">
      <c r="A35" s="87" t="s">
        <v>247</v>
      </c>
      <c r="B35" s="83" t="s">
        <v>85</v>
      </c>
      <c r="C35" s="83">
        <v>818</v>
      </c>
      <c r="D35" s="83">
        <v>818</v>
      </c>
      <c r="E35" s="83">
        <v>1636</v>
      </c>
      <c r="F35" s="83">
        <v>291</v>
      </c>
      <c r="G35" s="86">
        <v>437</v>
      </c>
      <c r="H35" s="86">
        <v>728</v>
      </c>
      <c r="I35" s="86">
        <v>17</v>
      </c>
      <c r="J35" s="86">
        <v>90</v>
      </c>
      <c r="K35" s="83">
        <v>107</v>
      </c>
      <c r="L35" s="83" t="s">
        <v>248</v>
      </c>
    </row>
    <row r="36" spans="1:12" ht="15" x14ac:dyDescent="0.25">
      <c r="A36" s="84" t="s">
        <v>249</v>
      </c>
      <c r="B36" s="84" t="s">
        <v>85</v>
      </c>
      <c r="C36" s="84">
        <v>588</v>
      </c>
      <c r="D36" s="84">
        <v>403</v>
      </c>
      <c r="E36" s="84">
        <v>991</v>
      </c>
      <c r="F36" s="84">
        <v>812</v>
      </c>
      <c r="G36" s="84">
        <v>532</v>
      </c>
      <c r="H36" s="84">
        <v>1344</v>
      </c>
      <c r="I36" s="84">
        <v>84</v>
      </c>
      <c r="J36" s="84">
        <v>112</v>
      </c>
      <c r="K36" s="84">
        <v>196</v>
      </c>
      <c r="L36" s="84" t="s">
        <v>250</v>
      </c>
    </row>
    <row r="37" spans="1:12" ht="15" x14ac:dyDescent="0.25">
      <c r="A37" s="84" t="s">
        <v>251</v>
      </c>
      <c r="B37" s="84" t="s">
        <v>102</v>
      </c>
      <c r="C37" s="84">
        <v>493</v>
      </c>
      <c r="D37" s="84">
        <v>1053</v>
      </c>
      <c r="E37" s="84">
        <v>1546</v>
      </c>
      <c r="F37" s="84">
        <v>112</v>
      </c>
      <c r="G37" s="84">
        <v>224</v>
      </c>
      <c r="H37" s="84">
        <v>336</v>
      </c>
      <c r="I37" s="84">
        <v>56</v>
      </c>
      <c r="J37" s="84">
        <v>134</v>
      </c>
      <c r="K37" s="84">
        <v>190</v>
      </c>
      <c r="L37" s="84">
        <v>76</v>
      </c>
    </row>
    <row r="38" spans="1:12" ht="15" x14ac:dyDescent="0.25">
      <c r="A38" s="84" t="s">
        <v>252</v>
      </c>
      <c r="B38" s="84" t="s">
        <v>85</v>
      </c>
      <c r="C38" s="84">
        <v>481</v>
      </c>
      <c r="D38" s="84">
        <v>179</v>
      </c>
      <c r="E38" s="84">
        <v>302</v>
      </c>
      <c r="F38" s="84">
        <v>952</v>
      </c>
      <c r="G38" s="84">
        <v>448</v>
      </c>
      <c r="H38" s="84">
        <v>504</v>
      </c>
      <c r="I38" s="84">
        <v>163</v>
      </c>
      <c r="J38" s="84">
        <v>45</v>
      </c>
      <c r="K38" s="84">
        <v>118</v>
      </c>
      <c r="L38" s="84" t="s">
        <v>253</v>
      </c>
    </row>
    <row r="39" spans="1:12" ht="15" x14ac:dyDescent="0.25">
      <c r="A39" s="84" t="s">
        <v>254</v>
      </c>
      <c r="B39" s="84" t="s">
        <v>85</v>
      </c>
      <c r="C39" s="84">
        <v>179</v>
      </c>
      <c r="D39" s="84">
        <v>302</v>
      </c>
      <c r="E39" s="84">
        <v>481</v>
      </c>
      <c r="F39" s="84">
        <v>448</v>
      </c>
      <c r="G39" s="84">
        <v>504</v>
      </c>
      <c r="H39" s="84">
        <v>952</v>
      </c>
      <c r="I39" s="84">
        <v>45</v>
      </c>
      <c r="J39" s="84">
        <v>118</v>
      </c>
      <c r="K39" s="84">
        <v>163</v>
      </c>
      <c r="L39" s="84">
        <v>48</v>
      </c>
    </row>
    <row r="40" spans="1:12" ht="15" x14ac:dyDescent="0.25">
      <c r="A40" s="84" t="s">
        <v>255</v>
      </c>
      <c r="B40" s="84" t="s">
        <v>85</v>
      </c>
      <c r="C40" s="84">
        <v>672</v>
      </c>
      <c r="D40" s="84">
        <v>851</v>
      </c>
      <c r="E40" s="84">
        <v>1523</v>
      </c>
      <c r="F40" s="84">
        <v>560</v>
      </c>
      <c r="G40" s="84">
        <v>728</v>
      </c>
      <c r="H40" s="84">
        <v>1288</v>
      </c>
      <c r="I40" s="84">
        <v>34</v>
      </c>
      <c r="J40" s="84">
        <v>168</v>
      </c>
      <c r="K40" s="84">
        <v>202</v>
      </c>
      <c r="L40" s="84">
        <v>32</v>
      </c>
    </row>
    <row r="41" spans="1:12" ht="15" x14ac:dyDescent="0.25">
      <c r="A41" s="84" t="s">
        <v>256</v>
      </c>
      <c r="B41" s="84" t="s">
        <v>85</v>
      </c>
      <c r="C41" s="84">
        <v>471</v>
      </c>
      <c r="D41" s="84">
        <v>78</v>
      </c>
      <c r="E41" s="84">
        <v>549</v>
      </c>
      <c r="F41" s="84">
        <v>202</v>
      </c>
      <c r="G41" s="84">
        <v>123</v>
      </c>
      <c r="H41" s="84">
        <v>325</v>
      </c>
      <c r="I41" s="84">
        <v>112</v>
      </c>
      <c r="J41" s="84">
        <v>34</v>
      </c>
      <c r="K41" s="84">
        <v>146</v>
      </c>
      <c r="L41" s="84">
        <v>52</v>
      </c>
    </row>
    <row r="42" spans="1:12" ht="15" x14ac:dyDescent="0.25">
      <c r="A42" s="84" t="s">
        <v>257</v>
      </c>
      <c r="B42" s="84" t="s">
        <v>85</v>
      </c>
      <c r="C42" s="84">
        <v>504</v>
      </c>
      <c r="D42" s="84">
        <v>140</v>
      </c>
      <c r="E42" s="84">
        <v>644</v>
      </c>
      <c r="F42" s="84">
        <v>1428</v>
      </c>
      <c r="G42" s="84">
        <v>196</v>
      </c>
      <c r="H42" s="84">
        <v>1624</v>
      </c>
      <c r="I42" s="84">
        <v>62</v>
      </c>
      <c r="J42" s="84">
        <v>151</v>
      </c>
      <c r="K42" s="84">
        <v>213</v>
      </c>
      <c r="L42" s="84">
        <v>80</v>
      </c>
    </row>
    <row r="43" spans="1:12" ht="15" x14ac:dyDescent="0.25">
      <c r="A43" s="84" t="s">
        <v>258</v>
      </c>
      <c r="B43" s="84" t="s">
        <v>85</v>
      </c>
      <c r="C43" s="84">
        <v>376</v>
      </c>
      <c r="D43" s="84">
        <v>120</v>
      </c>
      <c r="E43" s="84">
        <v>496</v>
      </c>
      <c r="F43" s="84">
        <v>400</v>
      </c>
      <c r="G43" s="84">
        <v>115</v>
      </c>
      <c r="H43" s="84">
        <v>515</v>
      </c>
      <c r="I43" s="84">
        <v>70</v>
      </c>
      <c r="J43" s="84">
        <v>154</v>
      </c>
      <c r="K43" s="84">
        <v>224</v>
      </c>
      <c r="L43" s="84">
        <v>60</v>
      </c>
    </row>
    <row r="44" spans="1:12" ht="15" x14ac:dyDescent="0.25">
      <c r="A44" s="84" t="s">
        <v>259</v>
      </c>
      <c r="B44" s="84" t="s">
        <v>85</v>
      </c>
      <c r="C44" s="84">
        <v>582</v>
      </c>
      <c r="D44" s="84">
        <v>336</v>
      </c>
      <c r="E44" s="84">
        <v>246</v>
      </c>
      <c r="F44" s="84">
        <v>1232</v>
      </c>
      <c r="G44" s="84">
        <v>291</v>
      </c>
      <c r="H44" s="84">
        <v>1523</v>
      </c>
      <c r="I44" s="84">
        <v>56</v>
      </c>
      <c r="J44" s="84">
        <v>179</v>
      </c>
      <c r="K44" s="84">
        <v>235</v>
      </c>
      <c r="L44" s="84">
        <v>158</v>
      </c>
    </row>
    <row r="45" spans="1:12" ht="15" x14ac:dyDescent="0.25">
      <c r="A45" s="84" t="s">
        <v>260</v>
      </c>
      <c r="B45" s="84" t="s">
        <v>85</v>
      </c>
      <c r="C45" s="84">
        <v>291</v>
      </c>
      <c r="D45" s="84">
        <v>112</v>
      </c>
      <c r="E45" s="84">
        <v>403</v>
      </c>
      <c r="F45" s="84">
        <v>616</v>
      </c>
      <c r="G45" s="84">
        <v>179</v>
      </c>
      <c r="H45" s="84">
        <v>795</v>
      </c>
      <c r="I45" s="84">
        <v>45</v>
      </c>
      <c r="J45" s="84">
        <v>90</v>
      </c>
      <c r="K45" s="84">
        <v>135</v>
      </c>
      <c r="L45" s="84">
        <v>70</v>
      </c>
    </row>
    <row r="46" spans="1:12" ht="15" x14ac:dyDescent="0.25">
      <c r="A46" s="84" t="s">
        <v>261</v>
      </c>
      <c r="B46" s="84" t="s">
        <v>85</v>
      </c>
      <c r="C46" s="84">
        <v>74</v>
      </c>
      <c r="D46" s="84">
        <v>60</v>
      </c>
      <c r="E46" s="84">
        <v>134</v>
      </c>
      <c r="F46" s="84">
        <v>49</v>
      </c>
      <c r="G46" s="84">
        <v>40</v>
      </c>
      <c r="H46" s="84">
        <v>89</v>
      </c>
      <c r="I46" s="84">
        <v>50</v>
      </c>
      <c r="J46" s="84">
        <v>57</v>
      </c>
      <c r="K46" s="84">
        <v>107</v>
      </c>
      <c r="L46" s="84">
        <v>40</v>
      </c>
    </row>
    <row r="47" spans="1:12" ht="15" x14ac:dyDescent="0.25">
      <c r="A47" s="84" t="s">
        <v>262</v>
      </c>
      <c r="B47" s="84" t="s">
        <v>85</v>
      </c>
      <c r="C47" s="84">
        <v>457</v>
      </c>
      <c r="D47" s="84">
        <v>103</v>
      </c>
      <c r="E47" s="84">
        <v>560</v>
      </c>
      <c r="F47" s="84">
        <v>338</v>
      </c>
      <c r="G47" s="84">
        <v>90</v>
      </c>
      <c r="H47" s="84">
        <v>428</v>
      </c>
      <c r="I47" s="84">
        <v>81</v>
      </c>
      <c r="J47" s="84">
        <v>78</v>
      </c>
      <c r="K47" s="84">
        <v>159</v>
      </c>
      <c r="L47" s="84">
        <v>140</v>
      </c>
    </row>
    <row r="48" spans="1:12" ht="15" x14ac:dyDescent="0.25">
      <c r="A48" s="84" t="s">
        <v>263</v>
      </c>
      <c r="B48" s="84" t="s">
        <v>85</v>
      </c>
      <c r="C48" s="84">
        <v>672</v>
      </c>
      <c r="D48" s="84">
        <v>28</v>
      </c>
      <c r="E48" s="84">
        <v>700</v>
      </c>
      <c r="F48" s="84">
        <v>308</v>
      </c>
      <c r="G48" s="84">
        <v>162</v>
      </c>
      <c r="H48" s="84">
        <v>470</v>
      </c>
      <c r="I48" s="84">
        <v>106</v>
      </c>
      <c r="J48" s="84">
        <v>129</v>
      </c>
      <c r="K48" s="84">
        <v>235</v>
      </c>
      <c r="L48" s="84">
        <v>249</v>
      </c>
    </row>
    <row r="49" spans="1:12" ht="15" x14ac:dyDescent="0.25">
      <c r="A49" s="84" t="s">
        <v>264</v>
      </c>
      <c r="B49" s="84" t="s">
        <v>85</v>
      </c>
      <c r="C49" s="84">
        <v>27</v>
      </c>
      <c r="D49" s="84">
        <v>110</v>
      </c>
      <c r="E49" s="84">
        <v>137</v>
      </c>
      <c r="F49" s="84">
        <v>36</v>
      </c>
      <c r="G49" s="84">
        <v>184</v>
      </c>
      <c r="H49" s="84">
        <v>220</v>
      </c>
      <c r="I49" s="84">
        <v>11</v>
      </c>
      <c r="J49" s="84">
        <v>67</v>
      </c>
      <c r="K49" s="84">
        <v>78</v>
      </c>
      <c r="L49" s="84">
        <v>51</v>
      </c>
    </row>
    <row r="50" spans="1:12" ht="15" x14ac:dyDescent="0.25">
      <c r="A50" s="84" t="s">
        <v>265</v>
      </c>
      <c r="B50" s="84" t="s">
        <v>102</v>
      </c>
      <c r="C50" s="84">
        <v>34</v>
      </c>
      <c r="D50" s="84">
        <v>116</v>
      </c>
      <c r="E50" s="84">
        <v>150</v>
      </c>
      <c r="F50" s="84">
        <v>40</v>
      </c>
      <c r="G50" s="84">
        <v>197</v>
      </c>
      <c r="H50" s="84">
        <v>237</v>
      </c>
      <c r="I50" s="84">
        <v>13</v>
      </c>
      <c r="J50" s="84">
        <v>63</v>
      </c>
      <c r="K50" s="84">
        <v>76</v>
      </c>
      <c r="L50" s="84">
        <v>38</v>
      </c>
    </row>
    <row r="51" spans="1:12" ht="15" x14ac:dyDescent="0.25">
      <c r="A51" s="84" t="s">
        <v>266</v>
      </c>
      <c r="B51" s="84" t="s">
        <v>85</v>
      </c>
      <c r="C51" s="84">
        <v>314</v>
      </c>
      <c r="D51" s="84">
        <v>78</v>
      </c>
      <c r="E51" s="84">
        <v>392</v>
      </c>
      <c r="F51" s="84">
        <v>358</v>
      </c>
      <c r="G51" s="84">
        <v>90</v>
      </c>
      <c r="H51" s="84">
        <v>448</v>
      </c>
      <c r="I51" s="84">
        <v>11</v>
      </c>
      <c r="J51" s="84">
        <v>118</v>
      </c>
      <c r="K51" s="84">
        <v>129</v>
      </c>
      <c r="L51" s="84">
        <v>48</v>
      </c>
    </row>
    <row r="52" spans="1:12" ht="15" x14ac:dyDescent="0.25">
      <c r="A52" s="84" t="s">
        <v>267</v>
      </c>
      <c r="B52" s="84" t="s">
        <v>85</v>
      </c>
      <c r="C52" s="84">
        <v>25</v>
      </c>
      <c r="D52" s="84">
        <v>78</v>
      </c>
      <c r="E52" s="84">
        <v>103</v>
      </c>
      <c r="F52" s="84">
        <v>318</v>
      </c>
      <c r="G52" s="84">
        <v>450</v>
      </c>
      <c r="H52" s="84">
        <v>768</v>
      </c>
      <c r="I52" s="84">
        <v>392</v>
      </c>
      <c r="J52" s="84">
        <v>273</v>
      </c>
      <c r="K52" s="84">
        <v>665</v>
      </c>
      <c r="L52" s="84">
        <v>33</v>
      </c>
    </row>
    <row r="53" spans="1:12" ht="15" x14ac:dyDescent="0.25">
      <c r="A53" s="84" t="s">
        <v>268</v>
      </c>
      <c r="B53" s="84" t="s">
        <v>85</v>
      </c>
      <c r="C53" s="84">
        <v>488</v>
      </c>
      <c r="D53" s="84">
        <v>531</v>
      </c>
      <c r="E53" s="84">
        <v>1019</v>
      </c>
      <c r="F53" s="84">
        <v>354</v>
      </c>
      <c r="G53" s="84">
        <v>450</v>
      </c>
      <c r="H53" s="84">
        <v>804</v>
      </c>
      <c r="I53" s="84">
        <v>40</v>
      </c>
      <c r="J53" s="84">
        <v>43</v>
      </c>
      <c r="K53" s="84">
        <v>83</v>
      </c>
      <c r="L53" s="84">
        <v>34</v>
      </c>
    </row>
    <row r="54" spans="1:12" ht="15" x14ac:dyDescent="0.25">
      <c r="A54" s="84" t="s">
        <v>269</v>
      </c>
      <c r="B54" s="84" t="s">
        <v>85</v>
      </c>
      <c r="C54" s="84">
        <v>258</v>
      </c>
      <c r="D54" s="84">
        <v>34</v>
      </c>
      <c r="E54" s="84">
        <v>292</v>
      </c>
      <c r="F54" s="84">
        <v>297</v>
      </c>
      <c r="G54" s="84">
        <v>62</v>
      </c>
      <c r="H54" s="84">
        <v>359</v>
      </c>
      <c r="I54" s="84">
        <v>39</v>
      </c>
      <c r="J54" s="84">
        <v>28</v>
      </c>
      <c r="K54" s="84">
        <v>67</v>
      </c>
      <c r="L54" s="84">
        <v>37</v>
      </c>
    </row>
    <row r="55" spans="1:12" ht="15" x14ac:dyDescent="0.25">
      <c r="A55" s="84" t="s">
        <v>270</v>
      </c>
      <c r="B55" s="84" t="s">
        <v>85</v>
      </c>
      <c r="C55" s="84">
        <v>197</v>
      </c>
      <c r="D55" s="84">
        <v>85</v>
      </c>
      <c r="E55" s="84">
        <v>282</v>
      </c>
      <c r="F55" s="84">
        <v>206</v>
      </c>
      <c r="G55" s="84">
        <v>67</v>
      </c>
      <c r="H55" s="84">
        <v>273</v>
      </c>
      <c r="I55" s="84">
        <v>94</v>
      </c>
      <c r="J55" s="84">
        <v>54</v>
      </c>
      <c r="K55" s="84">
        <v>148</v>
      </c>
      <c r="L55" s="84">
        <v>44</v>
      </c>
    </row>
    <row r="56" spans="1:12" ht="15" x14ac:dyDescent="0.25">
      <c r="A56" s="84" t="s">
        <v>271</v>
      </c>
      <c r="B56" s="84" t="s">
        <v>85</v>
      </c>
      <c r="C56" s="84"/>
      <c r="D56" s="84"/>
      <c r="E56" s="84"/>
      <c r="F56" s="84">
        <v>298</v>
      </c>
      <c r="G56" s="84">
        <v>67</v>
      </c>
      <c r="H56" s="84">
        <v>365</v>
      </c>
      <c r="I56" s="84">
        <v>63</v>
      </c>
      <c r="J56" s="84">
        <v>83</v>
      </c>
      <c r="K56" s="84">
        <v>146</v>
      </c>
      <c r="L56" s="84">
        <v>95</v>
      </c>
    </row>
    <row r="57" spans="1:12" ht="15" x14ac:dyDescent="0.25">
      <c r="A57" s="84" t="s">
        <v>272</v>
      </c>
      <c r="B57" s="84" t="s">
        <v>102</v>
      </c>
      <c r="C57" s="84">
        <v>304</v>
      </c>
      <c r="D57" s="84">
        <v>67</v>
      </c>
      <c r="E57" s="84">
        <v>237</v>
      </c>
      <c r="F57" s="84">
        <v>119</v>
      </c>
      <c r="G57" s="84">
        <v>45</v>
      </c>
      <c r="H57" s="84">
        <v>74</v>
      </c>
      <c r="I57" s="84">
        <v>108</v>
      </c>
      <c r="J57" s="84">
        <v>27</v>
      </c>
      <c r="K57" s="84">
        <v>81</v>
      </c>
      <c r="L57" s="84">
        <v>83</v>
      </c>
    </row>
    <row r="58" spans="1:12" ht="15" x14ac:dyDescent="0.25">
      <c r="A58" s="84" t="s">
        <v>273</v>
      </c>
      <c r="B58" s="84" t="s">
        <v>85</v>
      </c>
      <c r="C58" s="84">
        <v>146</v>
      </c>
      <c r="D58" s="84">
        <v>120</v>
      </c>
      <c r="E58" s="84">
        <v>266</v>
      </c>
      <c r="F58" s="84">
        <v>160</v>
      </c>
      <c r="G58" s="84">
        <v>48</v>
      </c>
      <c r="H58" s="84">
        <v>208</v>
      </c>
      <c r="I58" s="84">
        <v>42</v>
      </c>
      <c r="J58" s="84">
        <v>76</v>
      </c>
      <c r="K58" s="84">
        <v>118</v>
      </c>
      <c r="L58" s="84">
        <v>85</v>
      </c>
    </row>
    <row r="59" spans="1:12" ht="15" x14ac:dyDescent="0.25">
      <c r="A59" s="84" t="s">
        <v>274</v>
      </c>
      <c r="B59" s="84" t="s">
        <v>102</v>
      </c>
      <c r="C59" s="84">
        <v>197</v>
      </c>
      <c r="D59" s="84">
        <v>83</v>
      </c>
      <c r="E59" s="84">
        <v>280</v>
      </c>
      <c r="F59" s="84">
        <v>208</v>
      </c>
      <c r="G59" s="84">
        <v>56</v>
      </c>
      <c r="H59" s="84">
        <v>264</v>
      </c>
      <c r="I59" s="84">
        <v>45</v>
      </c>
      <c r="J59" s="84">
        <v>45</v>
      </c>
      <c r="K59" s="84">
        <v>90</v>
      </c>
      <c r="L59" s="84">
        <v>65</v>
      </c>
    </row>
    <row r="60" spans="1:12" ht="15" x14ac:dyDescent="0.25">
      <c r="A60" s="84" t="s">
        <v>275</v>
      </c>
      <c r="B60" s="84" t="s">
        <v>85</v>
      </c>
      <c r="C60" s="84">
        <v>180</v>
      </c>
      <c r="D60" s="84">
        <v>60</v>
      </c>
      <c r="E60" s="84">
        <v>240</v>
      </c>
      <c r="F60" s="84">
        <v>320</v>
      </c>
      <c r="G60" s="84">
        <v>222</v>
      </c>
      <c r="H60" s="84">
        <v>542</v>
      </c>
      <c r="I60" s="84">
        <v>80</v>
      </c>
      <c r="J60" s="84">
        <v>39</v>
      </c>
      <c r="K60" s="84">
        <v>119</v>
      </c>
      <c r="L60" s="84">
        <v>133</v>
      </c>
    </row>
    <row r="61" spans="1:12" ht="15" x14ac:dyDescent="0.25">
      <c r="A61" s="84" t="s">
        <v>276</v>
      </c>
      <c r="B61" s="84" t="s">
        <v>85</v>
      </c>
      <c r="C61" s="84">
        <v>96</v>
      </c>
      <c r="D61" s="84">
        <v>32</v>
      </c>
      <c r="E61" s="84">
        <v>128</v>
      </c>
      <c r="F61" s="84">
        <v>213</v>
      </c>
      <c r="G61" s="84">
        <v>15</v>
      </c>
      <c r="H61" s="84">
        <v>228</v>
      </c>
      <c r="I61" s="84">
        <v>78</v>
      </c>
      <c r="J61" s="84">
        <v>49</v>
      </c>
      <c r="K61" s="84">
        <v>127</v>
      </c>
      <c r="L61" s="84">
        <v>62</v>
      </c>
    </row>
    <row r="62" spans="1:12" ht="15" x14ac:dyDescent="0.25">
      <c r="A62" s="84" t="s">
        <v>277</v>
      </c>
      <c r="B62" s="84" t="s">
        <v>85</v>
      </c>
      <c r="C62" s="84">
        <v>276</v>
      </c>
      <c r="D62" s="84">
        <v>139</v>
      </c>
      <c r="E62" s="84">
        <v>415</v>
      </c>
      <c r="F62" s="84">
        <v>40</v>
      </c>
      <c r="G62" s="84">
        <v>40</v>
      </c>
      <c r="H62" s="84">
        <v>80</v>
      </c>
      <c r="I62" s="84">
        <v>45</v>
      </c>
      <c r="J62" s="84">
        <v>67</v>
      </c>
      <c r="K62" s="84">
        <v>112</v>
      </c>
      <c r="L62" s="84">
        <v>96</v>
      </c>
    </row>
    <row r="63" spans="1:12" ht="15" x14ac:dyDescent="0.25">
      <c r="A63" s="84" t="s">
        <v>278</v>
      </c>
      <c r="B63" s="84" t="s">
        <v>85</v>
      </c>
      <c r="C63" s="84">
        <v>442</v>
      </c>
      <c r="D63" s="84">
        <v>173</v>
      </c>
      <c r="E63" s="84">
        <v>615</v>
      </c>
      <c r="F63" s="84">
        <v>61</v>
      </c>
      <c r="G63" s="84">
        <v>120</v>
      </c>
      <c r="H63" s="84">
        <v>181</v>
      </c>
      <c r="I63" s="84">
        <v>36</v>
      </c>
      <c r="J63" s="84">
        <v>101</v>
      </c>
      <c r="K63" s="84">
        <v>137</v>
      </c>
      <c r="L63" s="84">
        <v>80</v>
      </c>
    </row>
    <row r="64" spans="1:12" ht="15" x14ac:dyDescent="0.25">
      <c r="A64" s="84" t="s">
        <v>279</v>
      </c>
      <c r="B64" s="84" t="s">
        <v>85</v>
      </c>
      <c r="C64" s="84">
        <v>151</v>
      </c>
      <c r="D64" s="84">
        <v>95</v>
      </c>
      <c r="E64" s="84">
        <v>216</v>
      </c>
      <c r="F64" s="84">
        <v>84</v>
      </c>
      <c r="G64" s="84">
        <v>39</v>
      </c>
      <c r="H64" s="84">
        <v>123</v>
      </c>
      <c r="I64" s="84">
        <v>76</v>
      </c>
      <c r="J64" s="84">
        <v>20</v>
      </c>
      <c r="K64" s="84">
        <v>96</v>
      </c>
      <c r="L64" s="84">
        <v>62</v>
      </c>
    </row>
    <row r="65" spans="1:12" ht="15" x14ac:dyDescent="0.25">
      <c r="A65" s="84" t="s">
        <v>280</v>
      </c>
      <c r="B65" s="84" t="s">
        <v>85</v>
      </c>
      <c r="C65" s="84">
        <v>106</v>
      </c>
      <c r="D65" s="84">
        <v>62</v>
      </c>
      <c r="E65" s="84">
        <v>168</v>
      </c>
      <c r="F65" s="84">
        <v>42</v>
      </c>
      <c r="G65" s="84">
        <v>81</v>
      </c>
      <c r="H65" s="84">
        <v>123</v>
      </c>
      <c r="I65" s="84">
        <v>62</v>
      </c>
      <c r="J65" s="84">
        <v>50</v>
      </c>
      <c r="K65" s="84">
        <v>112</v>
      </c>
      <c r="L65" s="84">
        <v>107</v>
      </c>
    </row>
    <row r="66" spans="1:12" ht="15" x14ac:dyDescent="0.25">
      <c r="A66" s="84" t="s">
        <v>281</v>
      </c>
      <c r="B66" s="84" t="s">
        <v>85</v>
      </c>
      <c r="C66" s="84">
        <v>358</v>
      </c>
      <c r="D66" s="84">
        <v>202</v>
      </c>
      <c r="E66" s="84">
        <v>560</v>
      </c>
      <c r="F66" s="84">
        <v>101</v>
      </c>
      <c r="G66" s="84">
        <v>92</v>
      </c>
      <c r="H66" s="84">
        <v>199</v>
      </c>
      <c r="I66" s="84">
        <v>67</v>
      </c>
      <c r="J66" s="84">
        <v>85</v>
      </c>
      <c r="K66" s="84">
        <v>152</v>
      </c>
      <c r="L66" s="84">
        <v>113</v>
      </c>
    </row>
    <row r="67" spans="1:12" ht="15" x14ac:dyDescent="0.25">
      <c r="A67" s="84" t="s">
        <v>282</v>
      </c>
      <c r="B67" s="84" t="s">
        <v>85</v>
      </c>
      <c r="C67" s="84">
        <v>504</v>
      </c>
      <c r="D67" s="84">
        <v>476</v>
      </c>
      <c r="E67" s="84">
        <v>980</v>
      </c>
      <c r="F67" s="84">
        <v>504</v>
      </c>
      <c r="G67" s="84">
        <v>336</v>
      </c>
      <c r="H67" s="84">
        <v>840</v>
      </c>
      <c r="I67" s="84">
        <v>52</v>
      </c>
      <c r="J67" s="84">
        <v>83</v>
      </c>
      <c r="K67" s="84">
        <v>135</v>
      </c>
      <c r="L67" s="84">
        <v>64</v>
      </c>
    </row>
    <row r="68" spans="1:12" ht="15" x14ac:dyDescent="0.25">
      <c r="A68" s="84" t="s">
        <v>283</v>
      </c>
      <c r="B68" s="84" t="s">
        <v>85</v>
      </c>
      <c r="C68" s="84">
        <v>360</v>
      </c>
      <c r="D68" s="84">
        <v>538</v>
      </c>
      <c r="E68" s="84">
        <v>898</v>
      </c>
      <c r="F68" s="84">
        <v>694</v>
      </c>
      <c r="G68" s="84">
        <v>549</v>
      </c>
      <c r="H68" s="84">
        <v>1243</v>
      </c>
      <c r="I68" s="84">
        <v>22</v>
      </c>
      <c r="J68" s="84">
        <v>146</v>
      </c>
      <c r="K68" s="84">
        <v>168</v>
      </c>
      <c r="L68" s="84">
        <v>62</v>
      </c>
    </row>
    <row r="69" spans="1:12" ht="15" x14ac:dyDescent="0.25">
      <c r="A69" s="84" t="s">
        <v>284</v>
      </c>
      <c r="B69" s="84" t="s">
        <v>85</v>
      </c>
      <c r="C69" s="84">
        <v>290</v>
      </c>
      <c r="D69" s="84">
        <v>392</v>
      </c>
      <c r="E69" s="84">
        <v>682</v>
      </c>
      <c r="F69" s="84">
        <v>502</v>
      </c>
      <c r="G69" s="84">
        <v>418</v>
      </c>
      <c r="H69" s="84">
        <v>920</v>
      </c>
      <c r="I69" s="84">
        <v>48</v>
      </c>
      <c r="J69" s="84">
        <v>142</v>
      </c>
      <c r="K69" s="84">
        <v>190</v>
      </c>
      <c r="L69" s="84">
        <v>120</v>
      </c>
    </row>
    <row r="70" spans="1:12" ht="15" x14ac:dyDescent="0.25">
      <c r="A70" s="84" t="s">
        <v>285</v>
      </c>
      <c r="B70" s="84" t="s">
        <v>85</v>
      </c>
      <c r="C70" s="84">
        <v>196</v>
      </c>
      <c r="D70" s="84">
        <v>308</v>
      </c>
      <c r="E70" s="84">
        <v>504</v>
      </c>
      <c r="F70" s="84">
        <v>224</v>
      </c>
      <c r="G70" s="84">
        <v>448</v>
      </c>
      <c r="H70" s="84">
        <v>672</v>
      </c>
      <c r="I70" s="84">
        <v>45</v>
      </c>
      <c r="J70" s="84">
        <v>112</v>
      </c>
      <c r="K70" s="84">
        <v>157</v>
      </c>
      <c r="L70" s="84">
        <v>52</v>
      </c>
    </row>
    <row r="71" spans="1:12" ht="15" x14ac:dyDescent="0.25">
      <c r="A71" s="84" t="s">
        <v>286</v>
      </c>
      <c r="B71" s="84" t="s">
        <v>85</v>
      </c>
      <c r="C71" s="84">
        <v>392</v>
      </c>
      <c r="D71" s="84">
        <v>224</v>
      </c>
      <c r="E71" s="84">
        <v>616</v>
      </c>
      <c r="F71" s="84">
        <v>493</v>
      </c>
      <c r="G71" s="84">
        <v>370</v>
      </c>
      <c r="H71" s="84">
        <v>863</v>
      </c>
      <c r="I71" s="84">
        <v>90</v>
      </c>
      <c r="J71" s="84">
        <v>168</v>
      </c>
      <c r="K71" s="84">
        <v>258</v>
      </c>
      <c r="L71" s="84">
        <v>110</v>
      </c>
    </row>
    <row r="72" spans="1:12" ht="15" x14ac:dyDescent="0.25">
      <c r="A72" s="84" t="s">
        <v>287</v>
      </c>
      <c r="B72" s="84" t="s">
        <v>85</v>
      </c>
      <c r="C72" s="84">
        <v>314</v>
      </c>
      <c r="D72" s="84">
        <v>129</v>
      </c>
      <c r="E72" s="84">
        <v>443</v>
      </c>
      <c r="F72" s="84">
        <v>252</v>
      </c>
      <c r="G72" s="84">
        <v>95</v>
      </c>
      <c r="H72" s="84">
        <v>296</v>
      </c>
      <c r="I72" s="84">
        <v>112</v>
      </c>
      <c r="J72" s="84">
        <v>190</v>
      </c>
      <c r="K72" s="84">
        <v>302</v>
      </c>
      <c r="L72" s="84">
        <v>69</v>
      </c>
    </row>
    <row r="73" spans="1:12" ht="15" x14ac:dyDescent="0.25">
      <c r="A73" s="84" t="s">
        <v>288</v>
      </c>
      <c r="B73" s="84" t="s">
        <v>102</v>
      </c>
      <c r="C73" s="84">
        <v>331</v>
      </c>
      <c r="D73" s="84">
        <v>123</v>
      </c>
      <c r="E73" s="84">
        <v>454</v>
      </c>
      <c r="F73" s="84">
        <v>291</v>
      </c>
      <c r="G73" s="84">
        <v>112</v>
      </c>
      <c r="H73" s="84">
        <v>403</v>
      </c>
      <c r="I73" s="84">
        <v>67</v>
      </c>
      <c r="J73" s="84">
        <v>92</v>
      </c>
      <c r="K73" s="84">
        <v>159</v>
      </c>
      <c r="L73" s="84">
        <v>41</v>
      </c>
    </row>
    <row r="74" spans="1:12" ht="15" x14ac:dyDescent="0.25">
      <c r="A74" s="84" t="s">
        <v>289</v>
      </c>
      <c r="B74" s="84" t="s">
        <v>85</v>
      </c>
      <c r="C74" s="84">
        <v>308</v>
      </c>
      <c r="D74" s="84">
        <v>128</v>
      </c>
      <c r="E74" s="84">
        <v>436</v>
      </c>
      <c r="F74" s="84">
        <v>274</v>
      </c>
      <c r="G74" s="84">
        <v>100</v>
      </c>
      <c r="H74" s="84">
        <v>374</v>
      </c>
      <c r="I74" s="84">
        <v>62</v>
      </c>
      <c r="J74" s="84">
        <v>82</v>
      </c>
      <c r="K74" s="84">
        <v>144</v>
      </c>
      <c r="L74" s="84">
        <v>69</v>
      </c>
    </row>
    <row r="75" spans="1:12" ht="15" x14ac:dyDescent="0.25">
      <c r="A75" s="84" t="s">
        <v>290</v>
      </c>
      <c r="B75" s="84" t="s">
        <v>85</v>
      </c>
      <c r="C75" s="84">
        <v>302</v>
      </c>
      <c r="D75" s="84">
        <v>235</v>
      </c>
      <c r="E75" s="84">
        <v>537</v>
      </c>
      <c r="F75" s="84">
        <v>414</v>
      </c>
      <c r="G75" s="84">
        <v>291</v>
      </c>
      <c r="H75" s="84">
        <v>705</v>
      </c>
      <c r="I75" s="84">
        <v>257</v>
      </c>
      <c r="J75" s="84">
        <v>106</v>
      </c>
      <c r="K75" s="84">
        <v>363</v>
      </c>
      <c r="L75" s="84">
        <v>146</v>
      </c>
    </row>
    <row r="76" spans="1:12" ht="15" x14ac:dyDescent="0.25">
      <c r="A76" s="84" t="s">
        <v>291</v>
      </c>
      <c r="B76" s="84" t="s">
        <v>85</v>
      </c>
      <c r="C76" s="84">
        <v>352</v>
      </c>
      <c r="D76" s="84">
        <v>207</v>
      </c>
      <c r="E76" s="84">
        <v>559</v>
      </c>
      <c r="F76" s="84">
        <v>380</v>
      </c>
      <c r="G76" s="84">
        <v>285</v>
      </c>
      <c r="H76" s="84">
        <v>665</v>
      </c>
      <c r="I76" s="84">
        <v>291</v>
      </c>
      <c r="J76" s="84">
        <v>128</v>
      </c>
      <c r="K76" s="84">
        <v>419</v>
      </c>
      <c r="L76" s="84">
        <v>91</v>
      </c>
    </row>
    <row r="77" spans="1:12" ht="15" x14ac:dyDescent="0.25">
      <c r="A77" s="84" t="s">
        <v>292</v>
      </c>
      <c r="B77" s="84" t="s">
        <v>85</v>
      </c>
      <c r="C77" s="84">
        <v>420</v>
      </c>
      <c r="D77" s="84">
        <v>207</v>
      </c>
      <c r="E77" s="84">
        <v>627</v>
      </c>
      <c r="F77" s="84">
        <v>168</v>
      </c>
      <c r="G77" s="84">
        <v>129</v>
      </c>
      <c r="H77" s="84">
        <v>297</v>
      </c>
      <c r="I77" s="84">
        <v>73</v>
      </c>
      <c r="J77" s="84">
        <v>123</v>
      </c>
      <c r="K77" s="84">
        <v>196</v>
      </c>
      <c r="L77" s="84">
        <v>68</v>
      </c>
    </row>
    <row r="78" spans="1:12" ht="15" x14ac:dyDescent="0.25">
      <c r="A78" s="84" t="s">
        <v>293</v>
      </c>
      <c r="B78" s="84" t="s">
        <v>85</v>
      </c>
      <c r="C78" s="84">
        <v>302</v>
      </c>
      <c r="D78" s="84">
        <v>140</v>
      </c>
      <c r="E78" s="84">
        <v>442</v>
      </c>
      <c r="F78" s="84">
        <v>353</v>
      </c>
      <c r="G78" s="84">
        <v>146</v>
      </c>
      <c r="H78" s="84">
        <v>499</v>
      </c>
      <c r="I78" s="84">
        <v>112</v>
      </c>
      <c r="J78" s="84">
        <v>95</v>
      </c>
      <c r="K78" s="84">
        <v>207</v>
      </c>
      <c r="L78" s="84">
        <v>0</v>
      </c>
    </row>
    <row r="79" spans="1:12" ht="15" x14ac:dyDescent="0.25">
      <c r="A79" s="84" t="s">
        <v>294</v>
      </c>
      <c r="B79" s="84" t="s">
        <v>85</v>
      </c>
      <c r="C79" s="84">
        <v>342</v>
      </c>
      <c r="D79" s="84">
        <v>190</v>
      </c>
      <c r="E79" s="84">
        <v>532</v>
      </c>
      <c r="F79" s="84">
        <v>367</v>
      </c>
      <c r="G79" s="84">
        <v>214</v>
      </c>
      <c r="H79" s="84">
        <v>581</v>
      </c>
      <c r="I79" s="84">
        <v>100</v>
      </c>
      <c r="J79" s="84">
        <v>81</v>
      </c>
      <c r="K79" s="84">
        <v>181</v>
      </c>
      <c r="L79" s="84">
        <v>40</v>
      </c>
    </row>
    <row r="80" spans="1:12" ht="15" x14ac:dyDescent="0.25">
      <c r="A80" s="84" t="s">
        <v>295</v>
      </c>
      <c r="B80" s="84" t="s">
        <v>85</v>
      </c>
      <c r="C80" s="84">
        <v>347</v>
      </c>
      <c r="D80" s="84">
        <v>168</v>
      </c>
      <c r="E80" s="84">
        <v>515</v>
      </c>
      <c r="F80" s="84">
        <v>330</v>
      </c>
      <c r="G80" s="84">
        <v>173</v>
      </c>
      <c r="H80" s="84">
        <v>503</v>
      </c>
      <c r="I80" s="84">
        <v>105</v>
      </c>
      <c r="J80" s="84">
        <v>87</v>
      </c>
      <c r="K80" s="84">
        <v>192</v>
      </c>
      <c r="L80" s="84">
        <v>42</v>
      </c>
    </row>
    <row r="81" spans="1:12" ht="15" x14ac:dyDescent="0.25">
      <c r="A81" s="84" t="s">
        <v>296</v>
      </c>
      <c r="B81" s="84" t="s">
        <v>85</v>
      </c>
      <c r="C81" s="84">
        <v>297</v>
      </c>
      <c r="D81" s="84">
        <v>146</v>
      </c>
      <c r="E81" s="84">
        <v>443</v>
      </c>
      <c r="F81" s="84">
        <v>342</v>
      </c>
      <c r="G81" s="84">
        <v>157</v>
      </c>
      <c r="H81" s="84">
        <v>499</v>
      </c>
      <c r="I81" s="84">
        <v>90</v>
      </c>
      <c r="J81" s="84">
        <v>81</v>
      </c>
      <c r="K81" s="84">
        <v>171</v>
      </c>
      <c r="L81" s="84">
        <v>95</v>
      </c>
    </row>
    <row r="82" spans="1:12" ht="15" x14ac:dyDescent="0.25">
      <c r="A82" s="84" t="s">
        <v>297</v>
      </c>
      <c r="B82" s="84" t="s">
        <v>85</v>
      </c>
      <c r="C82" s="84">
        <v>465</v>
      </c>
      <c r="D82" s="84">
        <v>336</v>
      </c>
      <c r="E82" s="84">
        <v>801</v>
      </c>
      <c r="F82" s="84">
        <v>728</v>
      </c>
      <c r="G82" s="84">
        <v>314</v>
      </c>
      <c r="H82" s="84">
        <v>1042</v>
      </c>
      <c r="I82" s="84">
        <v>72</v>
      </c>
      <c r="J82" s="84">
        <v>107</v>
      </c>
      <c r="K82" s="84">
        <v>179</v>
      </c>
      <c r="L82" s="84">
        <v>109</v>
      </c>
    </row>
    <row r="83" spans="1:12" ht="15" x14ac:dyDescent="0.25">
      <c r="A83" s="84" t="s">
        <v>298</v>
      </c>
      <c r="B83" s="84" t="s">
        <v>85</v>
      </c>
      <c r="C83" s="84">
        <v>280</v>
      </c>
      <c r="D83" s="84">
        <v>118</v>
      </c>
      <c r="E83" s="84">
        <v>398</v>
      </c>
      <c r="F83" s="84">
        <v>370</v>
      </c>
      <c r="G83" s="84">
        <v>168</v>
      </c>
      <c r="H83" s="84">
        <v>538</v>
      </c>
      <c r="I83" s="84">
        <v>94</v>
      </c>
      <c r="J83" s="84">
        <v>74</v>
      </c>
      <c r="K83" s="84">
        <v>168</v>
      </c>
      <c r="L83" s="84">
        <v>72</v>
      </c>
    </row>
    <row r="84" spans="1:12" ht="15" x14ac:dyDescent="0.25">
      <c r="A84" s="84" t="s">
        <v>299</v>
      </c>
      <c r="B84" s="84" t="s">
        <v>85</v>
      </c>
      <c r="C84" s="84">
        <v>353</v>
      </c>
      <c r="D84" s="84">
        <v>235</v>
      </c>
      <c r="E84" s="84">
        <v>588</v>
      </c>
      <c r="F84" s="84">
        <v>454</v>
      </c>
      <c r="G84" s="84">
        <v>274</v>
      </c>
      <c r="H84" s="84">
        <v>728</v>
      </c>
      <c r="I84" s="84">
        <v>52</v>
      </c>
      <c r="J84" s="84">
        <v>45</v>
      </c>
      <c r="K84" s="84">
        <v>97</v>
      </c>
      <c r="L84" s="84">
        <v>38</v>
      </c>
    </row>
    <row r="85" spans="1:12" ht="15" x14ac:dyDescent="0.25">
      <c r="A85" s="84" t="s">
        <v>300</v>
      </c>
      <c r="B85" s="84" t="s">
        <v>85</v>
      </c>
      <c r="C85" s="84">
        <v>394</v>
      </c>
      <c r="D85" s="84">
        <v>107</v>
      </c>
      <c r="E85" s="84">
        <v>501</v>
      </c>
      <c r="F85" s="84">
        <v>396</v>
      </c>
      <c r="G85" s="84">
        <v>226</v>
      </c>
      <c r="H85" s="84">
        <v>622</v>
      </c>
      <c r="I85" s="84">
        <v>69</v>
      </c>
      <c r="J85" s="84">
        <v>172</v>
      </c>
      <c r="K85" s="84">
        <v>241</v>
      </c>
      <c r="L85" s="84">
        <v>35</v>
      </c>
    </row>
    <row r="86" spans="1:12" ht="15" x14ac:dyDescent="0.25">
      <c r="A86" s="84" t="s">
        <v>301</v>
      </c>
      <c r="B86" s="84" t="s">
        <v>85</v>
      </c>
      <c r="C86" s="84">
        <v>362</v>
      </c>
      <c r="D86" s="84">
        <v>82</v>
      </c>
      <c r="E86" s="84">
        <v>444</v>
      </c>
      <c r="F86" s="84">
        <v>380</v>
      </c>
      <c r="G86" s="84">
        <v>199</v>
      </c>
      <c r="H86" s="84">
        <v>579</v>
      </c>
      <c r="I86" s="84">
        <v>60</v>
      </c>
      <c r="J86" s="84">
        <v>147</v>
      </c>
      <c r="K86" s="84">
        <v>207</v>
      </c>
      <c r="L86" s="84">
        <v>42</v>
      </c>
    </row>
    <row r="87" spans="1:12" ht="15" x14ac:dyDescent="0.25">
      <c r="A87" s="84" t="s">
        <v>302</v>
      </c>
      <c r="B87" s="84" t="s">
        <v>85</v>
      </c>
      <c r="C87" s="84">
        <v>305</v>
      </c>
      <c r="D87" s="84">
        <v>60</v>
      </c>
      <c r="E87" s="84">
        <v>365</v>
      </c>
      <c r="F87" s="84">
        <v>490</v>
      </c>
      <c r="G87" s="84">
        <v>94</v>
      </c>
      <c r="H87" s="84">
        <v>584</v>
      </c>
      <c r="I87" s="84">
        <v>51</v>
      </c>
      <c r="J87" s="84">
        <v>89</v>
      </c>
      <c r="K87" s="84">
        <v>140</v>
      </c>
      <c r="L87" s="84">
        <v>48</v>
      </c>
    </row>
    <row r="88" spans="1:12" ht="15" x14ac:dyDescent="0.25">
      <c r="A88" s="84" t="s">
        <v>303</v>
      </c>
      <c r="B88" s="84" t="s">
        <v>85</v>
      </c>
      <c r="C88" s="84">
        <v>338</v>
      </c>
      <c r="D88" s="84">
        <v>85</v>
      </c>
      <c r="E88" s="84">
        <v>423</v>
      </c>
      <c r="F88" s="84">
        <v>446</v>
      </c>
      <c r="G88" s="84">
        <v>98</v>
      </c>
      <c r="H88" s="84">
        <v>544</v>
      </c>
      <c r="I88" s="84">
        <v>94</v>
      </c>
      <c r="J88" s="84">
        <v>54</v>
      </c>
      <c r="K88" s="84">
        <v>148</v>
      </c>
      <c r="L88" s="84">
        <v>86</v>
      </c>
    </row>
    <row r="89" spans="1:12" ht="15" x14ac:dyDescent="0.25">
      <c r="A89" s="84" t="s">
        <v>304</v>
      </c>
      <c r="B89" s="84" t="s">
        <v>85</v>
      </c>
      <c r="C89" s="84">
        <v>204</v>
      </c>
      <c r="D89" s="84">
        <v>166</v>
      </c>
      <c r="E89" s="84">
        <v>370</v>
      </c>
      <c r="F89" s="84">
        <v>343</v>
      </c>
      <c r="G89" s="84">
        <v>244</v>
      </c>
      <c r="H89" s="84">
        <v>587</v>
      </c>
      <c r="I89" s="84">
        <v>85</v>
      </c>
      <c r="J89" s="84">
        <v>34</v>
      </c>
      <c r="K89" s="84">
        <v>119</v>
      </c>
      <c r="L89" s="84">
        <v>27</v>
      </c>
    </row>
    <row r="90" spans="1:12" ht="15" x14ac:dyDescent="0.25">
      <c r="A90" s="84" t="s">
        <v>305</v>
      </c>
      <c r="B90" s="84" t="s">
        <v>85</v>
      </c>
      <c r="C90" s="84">
        <v>160</v>
      </c>
      <c r="D90" s="84">
        <v>137</v>
      </c>
      <c r="E90" s="84">
        <v>297</v>
      </c>
      <c r="F90" s="84">
        <v>340</v>
      </c>
      <c r="G90" s="84">
        <v>161</v>
      </c>
      <c r="H90" s="84">
        <v>501</v>
      </c>
      <c r="I90" s="84">
        <v>42</v>
      </c>
      <c r="J90" s="84">
        <v>47</v>
      </c>
      <c r="K90" s="84">
        <v>89</v>
      </c>
      <c r="L90" s="84">
        <v>62</v>
      </c>
    </row>
    <row r="91" spans="1:12" ht="15" x14ac:dyDescent="0.25">
      <c r="A91" s="84" t="s">
        <v>306</v>
      </c>
      <c r="B91" s="84" t="s">
        <v>85</v>
      </c>
      <c r="C91" s="84">
        <v>291</v>
      </c>
      <c r="D91" s="84">
        <v>123</v>
      </c>
      <c r="E91" s="84">
        <v>414</v>
      </c>
      <c r="F91" s="84">
        <v>423</v>
      </c>
      <c r="G91" s="84">
        <v>201</v>
      </c>
      <c r="H91" s="84">
        <v>624</v>
      </c>
      <c r="I91" s="84">
        <v>83</v>
      </c>
      <c r="J91" s="84">
        <v>51</v>
      </c>
      <c r="K91" s="84">
        <v>131</v>
      </c>
      <c r="L91" s="84">
        <v>64</v>
      </c>
    </row>
    <row r="92" spans="1:12" ht="15" x14ac:dyDescent="0.25">
      <c r="A92" s="84" t="s">
        <v>307</v>
      </c>
      <c r="B92" s="84" t="s">
        <v>85</v>
      </c>
      <c r="C92" s="84">
        <v>168</v>
      </c>
      <c r="D92" s="84">
        <v>112</v>
      </c>
      <c r="E92" s="84">
        <v>280</v>
      </c>
      <c r="F92" s="84">
        <v>213</v>
      </c>
      <c r="G92" s="84">
        <v>151</v>
      </c>
      <c r="H92" s="84">
        <v>364</v>
      </c>
      <c r="I92" s="84">
        <v>58</v>
      </c>
      <c r="J92" s="84">
        <v>34</v>
      </c>
      <c r="K92" s="84">
        <v>92</v>
      </c>
      <c r="L92" s="84">
        <v>67</v>
      </c>
    </row>
    <row r="93" spans="1:12" ht="15" x14ac:dyDescent="0.25">
      <c r="A93" s="84" t="s">
        <v>308</v>
      </c>
      <c r="B93" s="84" t="s">
        <v>85</v>
      </c>
      <c r="C93" s="84">
        <v>448</v>
      </c>
      <c r="D93" s="84">
        <v>112</v>
      </c>
      <c r="E93" s="84">
        <v>560</v>
      </c>
      <c r="F93" s="84">
        <v>672</v>
      </c>
      <c r="G93" s="84">
        <v>67</v>
      </c>
      <c r="H93" s="84">
        <v>739</v>
      </c>
      <c r="I93" s="84">
        <v>67</v>
      </c>
      <c r="J93" s="84">
        <v>52</v>
      </c>
      <c r="K93" s="84">
        <v>119</v>
      </c>
      <c r="L93" s="84">
        <v>96</v>
      </c>
    </row>
    <row r="94" spans="1:12" ht="15" x14ac:dyDescent="0.25">
      <c r="A94" s="84" t="s">
        <v>309</v>
      </c>
      <c r="B94" s="84" t="s">
        <v>102</v>
      </c>
      <c r="C94" s="84"/>
      <c r="D94" s="84"/>
      <c r="E94" s="84"/>
      <c r="F94" s="84">
        <v>200</v>
      </c>
      <c r="G94" s="84">
        <v>49</v>
      </c>
      <c r="H94" s="84">
        <v>249</v>
      </c>
      <c r="I94" s="84">
        <v>40</v>
      </c>
      <c r="J94" s="84">
        <v>24</v>
      </c>
      <c r="K94" s="84">
        <v>64</v>
      </c>
      <c r="L94" s="84">
        <v>40</v>
      </c>
    </row>
    <row r="95" spans="1:12" ht="15" x14ac:dyDescent="0.25">
      <c r="A95" s="84" t="s">
        <v>310</v>
      </c>
      <c r="B95" s="84" t="s">
        <v>85</v>
      </c>
      <c r="C95" s="84">
        <v>288</v>
      </c>
      <c r="D95" s="84">
        <v>125</v>
      </c>
      <c r="E95" s="84">
        <v>413</v>
      </c>
      <c r="F95" s="84">
        <v>456</v>
      </c>
      <c r="G95" s="84">
        <v>91</v>
      </c>
      <c r="H95" s="84">
        <v>547</v>
      </c>
      <c r="I95" s="84">
        <v>73</v>
      </c>
      <c r="J95" s="84">
        <v>54</v>
      </c>
      <c r="K95" s="84">
        <v>127</v>
      </c>
      <c r="L95" s="84">
        <v>134</v>
      </c>
    </row>
    <row r="96" spans="1:12" ht="15" x14ac:dyDescent="0.25">
      <c r="A96" s="84" t="s">
        <v>110</v>
      </c>
      <c r="B96" s="84" t="s">
        <v>85</v>
      </c>
      <c r="C96" s="84">
        <v>470</v>
      </c>
      <c r="D96" s="84">
        <v>16</v>
      </c>
      <c r="E96" s="84">
        <v>486</v>
      </c>
      <c r="F96" s="84">
        <v>83</v>
      </c>
      <c r="G96" s="84">
        <v>78</v>
      </c>
      <c r="H96" s="84">
        <v>161</v>
      </c>
      <c r="I96" s="84">
        <v>479</v>
      </c>
      <c r="J96" s="84">
        <v>40</v>
      </c>
      <c r="K96" s="84">
        <v>519</v>
      </c>
      <c r="L96" s="84">
        <v>66</v>
      </c>
    </row>
    <row r="97" spans="1:12" ht="15" x14ac:dyDescent="0.25">
      <c r="A97" s="84" t="s">
        <v>121</v>
      </c>
      <c r="B97" s="84" t="s">
        <v>85</v>
      </c>
      <c r="C97" s="84">
        <v>342</v>
      </c>
      <c r="D97" s="84">
        <v>26</v>
      </c>
      <c r="E97" s="84">
        <v>368</v>
      </c>
      <c r="F97" s="84">
        <v>329</v>
      </c>
      <c r="G97" s="84">
        <v>51</v>
      </c>
      <c r="H97" s="84">
        <v>380</v>
      </c>
      <c r="I97" s="84">
        <v>103</v>
      </c>
      <c r="J97" s="84">
        <v>47</v>
      </c>
      <c r="K97" s="84">
        <v>150</v>
      </c>
      <c r="L97" s="84">
        <v>105</v>
      </c>
    </row>
    <row r="98" spans="1:12" ht="15" x14ac:dyDescent="0.25">
      <c r="A98" s="84" t="s">
        <v>131</v>
      </c>
      <c r="B98" s="84" t="s">
        <v>85</v>
      </c>
      <c r="C98" s="84">
        <v>183</v>
      </c>
      <c r="D98" s="84">
        <v>31</v>
      </c>
      <c r="E98" s="84">
        <v>214</v>
      </c>
      <c r="F98" s="84">
        <v>322</v>
      </c>
      <c r="G98" s="84">
        <v>60</v>
      </c>
      <c r="H98" s="84">
        <v>382</v>
      </c>
      <c r="I98" s="84">
        <v>49</v>
      </c>
      <c r="J98" s="84">
        <v>22</v>
      </c>
      <c r="K98" s="84">
        <v>71</v>
      </c>
      <c r="L98" s="84">
        <v>83</v>
      </c>
    </row>
    <row r="99" spans="1:12" ht="15" x14ac:dyDescent="0.25">
      <c r="A99" s="84" t="s">
        <v>145</v>
      </c>
      <c r="B99" s="84" t="s">
        <v>102</v>
      </c>
      <c r="C99" s="84">
        <v>168</v>
      </c>
      <c r="D99" s="84">
        <v>40</v>
      </c>
      <c r="E99" s="84">
        <v>208</v>
      </c>
      <c r="F99" s="84">
        <v>340</v>
      </c>
      <c r="G99" s="84">
        <v>56</v>
      </c>
      <c r="H99" s="84">
        <v>396</v>
      </c>
      <c r="I99" s="84">
        <v>85</v>
      </c>
      <c r="J99" s="84">
        <v>31</v>
      </c>
      <c r="K99" s="84">
        <v>116</v>
      </c>
      <c r="L99" s="84">
        <v>113</v>
      </c>
    </row>
    <row r="100" spans="1:12" ht="15" x14ac:dyDescent="0.25">
      <c r="A100" s="84" t="s">
        <v>155</v>
      </c>
      <c r="B100" s="84" t="s">
        <v>85</v>
      </c>
      <c r="C100" s="84">
        <v>207</v>
      </c>
      <c r="D100" s="84">
        <v>84</v>
      </c>
      <c r="E100" s="84">
        <v>291</v>
      </c>
      <c r="F100" s="84">
        <v>286</v>
      </c>
      <c r="G100" s="84">
        <v>84</v>
      </c>
      <c r="H100" s="84">
        <v>370</v>
      </c>
      <c r="I100" s="84">
        <v>67</v>
      </c>
      <c r="J100" s="84">
        <v>56</v>
      </c>
      <c r="K100" s="84">
        <v>123</v>
      </c>
      <c r="L100" s="84">
        <v>105</v>
      </c>
    </row>
    <row r="101" spans="1:12" ht="15" x14ac:dyDescent="0.25">
      <c r="A101" s="84" t="s">
        <v>164</v>
      </c>
      <c r="B101" s="84" t="s">
        <v>85</v>
      </c>
      <c r="C101" s="84">
        <v>228</v>
      </c>
      <c r="D101" s="84">
        <v>73</v>
      </c>
      <c r="E101" s="84">
        <v>301</v>
      </c>
      <c r="F101" s="84">
        <v>327</v>
      </c>
      <c r="G101" s="84">
        <v>96</v>
      </c>
      <c r="H101" s="84">
        <v>423</v>
      </c>
      <c r="I101" s="84">
        <v>71</v>
      </c>
      <c r="J101" s="84">
        <v>53</v>
      </c>
      <c r="K101" s="84">
        <v>124</v>
      </c>
      <c r="L101" s="84">
        <v>88</v>
      </c>
    </row>
    <row r="102" spans="1:12" ht="15" x14ac:dyDescent="0.25">
      <c r="A102" s="84" t="s">
        <v>173</v>
      </c>
      <c r="B102" s="84" t="s">
        <v>85</v>
      </c>
      <c r="C102" s="84">
        <v>240</v>
      </c>
      <c r="D102" s="84">
        <v>67</v>
      </c>
      <c r="E102" s="84">
        <v>307</v>
      </c>
      <c r="F102" s="84">
        <v>319</v>
      </c>
      <c r="G102" s="84">
        <v>78</v>
      </c>
      <c r="H102" s="84">
        <v>397</v>
      </c>
      <c r="I102" s="84">
        <v>82</v>
      </c>
      <c r="J102" s="84">
        <v>35</v>
      </c>
      <c r="K102" s="84">
        <v>117</v>
      </c>
      <c r="L102" s="84">
        <v>86</v>
      </c>
    </row>
    <row r="103" spans="1:12" ht="15" x14ac:dyDescent="0.25">
      <c r="A103" s="84" t="s">
        <v>181</v>
      </c>
      <c r="B103" s="84" t="s">
        <v>85</v>
      </c>
      <c r="C103" s="84">
        <v>280</v>
      </c>
      <c r="D103" s="84">
        <v>98</v>
      </c>
      <c r="E103" s="84">
        <v>378</v>
      </c>
      <c r="F103" s="84">
        <v>502</v>
      </c>
      <c r="G103" s="84">
        <v>181</v>
      </c>
      <c r="H103" s="84">
        <v>683</v>
      </c>
      <c r="I103" s="84">
        <v>56</v>
      </c>
      <c r="J103" s="84">
        <v>31</v>
      </c>
      <c r="K103" s="84">
        <v>87</v>
      </c>
      <c r="L103" s="84">
        <v>90</v>
      </c>
    </row>
    <row r="104" spans="1:12" ht="15" x14ac:dyDescent="0.25">
      <c r="A104" s="84" t="s">
        <v>190</v>
      </c>
      <c r="B104" s="84" t="s">
        <v>85</v>
      </c>
      <c r="C104" s="84">
        <v>336</v>
      </c>
      <c r="D104" s="84">
        <v>78</v>
      </c>
      <c r="E104" s="84">
        <v>414</v>
      </c>
      <c r="F104" s="84">
        <v>202</v>
      </c>
      <c r="G104" s="84">
        <v>67</v>
      </c>
      <c r="H104" s="84">
        <v>269</v>
      </c>
      <c r="I104" s="84">
        <v>67</v>
      </c>
      <c r="J104" s="84">
        <v>67</v>
      </c>
      <c r="K104" s="84">
        <v>134</v>
      </c>
      <c r="L104" s="84">
        <v>68</v>
      </c>
    </row>
    <row r="105" spans="1:12" ht="15" x14ac:dyDescent="0.25">
      <c r="A105" s="84" t="s">
        <v>198</v>
      </c>
      <c r="B105" s="84" t="s">
        <v>85</v>
      </c>
      <c r="C105" s="84">
        <v>251</v>
      </c>
      <c r="D105" s="84">
        <v>63</v>
      </c>
      <c r="E105" s="84">
        <v>314</v>
      </c>
      <c r="F105" s="84">
        <v>269</v>
      </c>
      <c r="G105" s="84">
        <v>81</v>
      </c>
      <c r="H105" s="84">
        <v>350</v>
      </c>
      <c r="I105" s="84">
        <v>67</v>
      </c>
      <c r="J105" s="84">
        <v>51</v>
      </c>
      <c r="K105" s="84">
        <v>118</v>
      </c>
      <c r="L105" s="84">
        <v>78</v>
      </c>
    </row>
    <row r="106" spans="1:12" ht="15" x14ac:dyDescent="0.25">
      <c r="A106" s="84" t="s">
        <v>206</v>
      </c>
      <c r="B106" s="84" t="s">
        <v>85</v>
      </c>
      <c r="C106" s="84">
        <v>300</v>
      </c>
      <c r="D106" s="84">
        <v>108</v>
      </c>
      <c r="E106" s="84">
        <v>408</v>
      </c>
      <c r="F106" s="84">
        <v>237</v>
      </c>
      <c r="G106" s="84">
        <v>212</v>
      </c>
      <c r="H106" s="84">
        <v>449</v>
      </c>
      <c r="I106" s="84">
        <v>69</v>
      </c>
      <c r="J106" s="84">
        <v>53</v>
      </c>
      <c r="K106" s="84">
        <v>122</v>
      </c>
      <c r="L106" s="84">
        <v>115</v>
      </c>
    </row>
    <row r="107" spans="1:12" ht="15" x14ac:dyDescent="0.25">
      <c r="A107" s="84" t="s">
        <v>209</v>
      </c>
      <c r="B107" s="84" t="s">
        <v>85</v>
      </c>
      <c r="C107" s="84">
        <v>594</v>
      </c>
      <c r="D107" s="84">
        <v>134</v>
      </c>
      <c r="E107" s="84">
        <v>728</v>
      </c>
      <c r="F107" s="84">
        <v>672</v>
      </c>
      <c r="G107" s="84">
        <v>224</v>
      </c>
      <c r="H107" s="84">
        <v>896</v>
      </c>
      <c r="I107" s="84">
        <v>515</v>
      </c>
      <c r="J107" s="84">
        <v>45</v>
      </c>
      <c r="K107" s="84">
        <v>560</v>
      </c>
      <c r="L107" s="84">
        <v>380</v>
      </c>
    </row>
    <row r="108" spans="1:12" ht="15" x14ac:dyDescent="0.25">
      <c r="A108" s="88" t="s">
        <v>311</v>
      </c>
      <c r="B108" s="84" t="s">
        <v>373</v>
      </c>
      <c r="C108" s="84">
        <v>582</v>
      </c>
      <c r="D108" s="84">
        <v>174</v>
      </c>
      <c r="E108" s="84">
        <v>756</v>
      </c>
      <c r="F108" s="84">
        <v>465</v>
      </c>
      <c r="G108" s="84">
        <v>218</v>
      </c>
      <c r="H108" s="84">
        <v>683</v>
      </c>
      <c r="I108" s="84">
        <v>202</v>
      </c>
      <c r="J108" s="84">
        <v>101</v>
      </c>
      <c r="K108" s="84">
        <v>303</v>
      </c>
      <c r="L108" s="84">
        <v>165</v>
      </c>
    </row>
    <row r="109" spans="1:12" ht="15" x14ac:dyDescent="0.25">
      <c r="A109" s="84" t="s">
        <v>313</v>
      </c>
      <c r="B109" s="84" t="s">
        <v>322</v>
      </c>
      <c r="C109" s="84">
        <v>464</v>
      </c>
      <c r="D109" s="84">
        <v>106</v>
      </c>
      <c r="E109" s="84">
        <v>570</v>
      </c>
      <c r="F109" s="84">
        <v>526</v>
      </c>
      <c r="G109" s="84">
        <v>128</v>
      </c>
      <c r="H109" s="84">
        <v>654</v>
      </c>
      <c r="I109" s="84">
        <v>112</v>
      </c>
      <c r="J109" s="84">
        <v>74</v>
      </c>
      <c r="K109" s="84">
        <v>186</v>
      </c>
      <c r="L109" s="84">
        <v>108</v>
      </c>
    </row>
    <row r="110" spans="1:12" ht="15" x14ac:dyDescent="0.25">
      <c r="A110" s="84" t="s">
        <v>321</v>
      </c>
      <c r="B110" s="84" t="s">
        <v>322</v>
      </c>
      <c r="C110" s="84">
        <v>672</v>
      </c>
      <c r="D110" s="84">
        <v>157</v>
      </c>
      <c r="E110" s="84">
        <v>829</v>
      </c>
      <c r="F110" s="84">
        <v>896</v>
      </c>
      <c r="G110" s="84">
        <v>336</v>
      </c>
      <c r="H110" s="84">
        <v>1232</v>
      </c>
      <c r="I110" s="84">
        <v>110</v>
      </c>
      <c r="J110" s="84">
        <v>34</v>
      </c>
      <c r="K110" s="84">
        <v>144</v>
      </c>
      <c r="L110" s="84">
        <v>38</v>
      </c>
    </row>
    <row r="111" spans="1:12" ht="15" x14ac:dyDescent="0.25">
      <c r="A111" s="84" t="s">
        <v>330</v>
      </c>
      <c r="B111" s="84" t="s">
        <v>340</v>
      </c>
      <c r="C111" s="84">
        <v>370</v>
      </c>
      <c r="D111" s="84">
        <v>517</v>
      </c>
      <c r="E111" s="84">
        <v>695</v>
      </c>
      <c r="F111" s="84">
        <v>398</v>
      </c>
      <c r="G111" s="84">
        <v>498</v>
      </c>
      <c r="H111" s="84">
        <v>896</v>
      </c>
      <c r="I111" s="84">
        <v>49</v>
      </c>
      <c r="J111" s="84">
        <v>130</v>
      </c>
      <c r="K111" s="84">
        <v>179</v>
      </c>
      <c r="L111" s="84">
        <v>71</v>
      </c>
    </row>
    <row r="112" spans="1:12" ht="15" x14ac:dyDescent="0.25">
      <c r="A112" s="84" t="s">
        <v>339</v>
      </c>
      <c r="B112" s="84" t="s">
        <v>332</v>
      </c>
      <c r="C112" s="84">
        <v>362</v>
      </c>
      <c r="D112" s="84">
        <v>517</v>
      </c>
      <c r="E112" s="84">
        <v>879</v>
      </c>
      <c r="F112" s="84">
        <v>112</v>
      </c>
      <c r="G112" s="84">
        <v>896</v>
      </c>
      <c r="H112" s="84">
        <v>1008</v>
      </c>
      <c r="I112" s="84">
        <v>45</v>
      </c>
      <c r="J112" s="84">
        <v>112</v>
      </c>
      <c r="K112" s="84">
        <v>157</v>
      </c>
      <c r="L112" s="84">
        <v>50</v>
      </c>
    </row>
    <row r="113" spans="1:12" ht="15" x14ac:dyDescent="0.25">
      <c r="A113" s="84" t="s">
        <v>348</v>
      </c>
      <c r="B113" s="84" t="s">
        <v>85</v>
      </c>
      <c r="C113" s="84">
        <v>745</v>
      </c>
      <c r="D113" s="84">
        <v>1506</v>
      </c>
      <c r="E113" s="84">
        <v>2251</v>
      </c>
      <c r="F113" s="84">
        <v>588</v>
      </c>
      <c r="G113" s="84">
        <v>2593</v>
      </c>
      <c r="H113" s="84">
        <v>3181</v>
      </c>
      <c r="I113" s="84">
        <v>52</v>
      </c>
      <c r="J113" s="84">
        <v>92</v>
      </c>
      <c r="K113" s="84">
        <v>144</v>
      </c>
      <c r="L113" s="84">
        <v>45</v>
      </c>
    </row>
    <row r="114" spans="1:12" ht="15" x14ac:dyDescent="0.25">
      <c r="A114" s="84" t="s">
        <v>357</v>
      </c>
      <c r="B114" s="84" t="s">
        <v>85</v>
      </c>
      <c r="C114" s="84">
        <v>403</v>
      </c>
      <c r="D114" s="84">
        <v>885</v>
      </c>
      <c r="E114" s="84">
        <v>1288</v>
      </c>
      <c r="F114" s="84">
        <v>543</v>
      </c>
      <c r="G114" s="84">
        <v>879</v>
      </c>
      <c r="H114" s="84">
        <v>1422</v>
      </c>
      <c r="I114" s="84">
        <v>81</v>
      </c>
      <c r="J114" s="84">
        <v>148</v>
      </c>
      <c r="K114" s="84">
        <v>229</v>
      </c>
      <c r="L114" s="84">
        <v>51</v>
      </c>
    </row>
    <row r="115" spans="1:12" ht="15" x14ac:dyDescent="0.25">
      <c r="A115" s="84" t="s">
        <v>372</v>
      </c>
      <c r="B115" s="84" t="s">
        <v>85</v>
      </c>
      <c r="C115" s="84">
        <v>370</v>
      </c>
      <c r="D115" s="84">
        <v>946</v>
      </c>
      <c r="E115" s="84">
        <v>1316</v>
      </c>
      <c r="F115" s="84">
        <v>420</v>
      </c>
      <c r="G115" s="84">
        <v>762</v>
      </c>
      <c r="H115" s="84">
        <v>1182</v>
      </c>
      <c r="I115" s="84">
        <v>47</v>
      </c>
      <c r="J115" s="84">
        <v>70</v>
      </c>
      <c r="K115" s="84">
        <v>117</v>
      </c>
      <c r="L115" s="84">
        <v>48</v>
      </c>
    </row>
    <row r="116" spans="1:12" ht="15" x14ac:dyDescent="0.25">
      <c r="A116" s="84" t="s">
        <v>381</v>
      </c>
      <c r="B116" s="84" t="s">
        <v>85</v>
      </c>
      <c r="C116" s="84">
        <v>302</v>
      </c>
      <c r="D116" s="84">
        <v>745</v>
      </c>
      <c r="E116" s="84">
        <v>1047</v>
      </c>
      <c r="F116" s="84">
        <v>330</v>
      </c>
      <c r="G116" s="84">
        <v>627</v>
      </c>
      <c r="H116" s="84">
        <v>957</v>
      </c>
      <c r="I116" s="84">
        <v>38</v>
      </c>
      <c r="J116" s="84">
        <v>56</v>
      </c>
      <c r="K116" s="84">
        <v>94</v>
      </c>
      <c r="L116" s="84">
        <v>34</v>
      </c>
    </row>
    <row r="117" spans="1:12" ht="15" x14ac:dyDescent="0.25">
      <c r="A117" s="84" t="s">
        <v>388</v>
      </c>
      <c r="B117" s="84" t="s">
        <v>85</v>
      </c>
      <c r="C117" s="84">
        <v>650</v>
      </c>
      <c r="D117" s="84">
        <v>497</v>
      </c>
      <c r="E117" s="84">
        <v>1147</v>
      </c>
      <c r="F117" s="84">
        <v>428</v>
      </c>
      <c r="G117" s="84">
        <v>450</v>
      </c>
      <c r="H117" s="84">
        <v>878</v>
      </c>
      <c r="I117" s="84">
        <v>34</v>
      </c>
      <c r="J117" s="84">
        <v>92</v>
      </c>
      <c r="K117" s="84">
        <v>126</v>
      </c>
      <c r="L117" s="84">
        <v>56</v>
      </c>
    </row>
    <row r="118" spans="1:12" ht="15" x14ac:dyDescent="0.25">
      <c r="A118" s="84" t="s">
        <v>395</v>
      </c>
      <c r="B118" s="84" t="s">
        <v>85</v>
      </c>
      <c r="C118" s="84">
        <v>403</v>
      </c>
      <c r="D118" s="84">
        <v>745</v>
      </c>
      <c r="E118" s="84">
        <v>1148</v>
      </c>
      <c r="F118" s="84">
        <v>650</v>
      </c>
      <c r="G118" s="84">
        <v>398</v>
      </c>
      <c r="H118" s="84">
        <v>1048</v>
      </c>
      <c r="I118" s="84">
        <v>32</v>
      </c>
      <c r="J118" s="84">
        <v>36</v>
      </c>
      <c r="K118" s="84">
        <v>68</v>
      </c>
      <c r="L118" s="84">
        <v>33</v>
      </c>
    </row>
    <row r="119" spans="1:12" ht="15" x14ac:dyDescent="0.25">
      <c r="A119" s="84" t="s">
        <v>408</v>
      </c>
      <c r="B119" s="84" t="s">
        <v>85</v>
      </c>
      <c r="C119" s="84">
        <v>454</v>
      </c>
      <c r="D119" s="84">
        <v>650</v>
      </c>
      <c r="E119" s="84">
        <v>1104</v>
      </c>
      <c r="F119" s="84">
        <v>638</v>
      </c>
      <c r="G119" s="84">
        <v>414</v>
      </c>
      <c r="H119" s="84">
        <v>1052</v>
      </c>
      <c r="I119" s="84">
        <v>85</v>
      </c>
      <c r="J119" s="84">
        <v>43</v>
      </c>
      <c r="K119" s="84">
        <v>128</v>
      </c>
      <c r="L119" s="84">
        <v>54</v>
      </c>
    </row>
    <row r="120" spans="1:12" ht="15" x14ac:dyDescent="0.25">
      <c r="A120" s="84" t="s">
        <v>416</v>
      </c>
      <c r="B120" s="84" t="s">
        <v>85</v>
      </c>
      <c r="C120" s="84">
        <v>365</v>
      </c>
      <c r="D120" s="84">
        <v>1103</v>
      </c>
      <c r="E120" s="84">
        <v>1468</v>
      </c>
      <c r="F120" s="84">
        <v>616</v>
      </c>
      <c r="G120" s="84">
        <v>896</v>
      </c>
      <c r="H120" s="84">
        <v>1512</v>
      </c>
      <c r="I120" s="84">
        <v>56</v>
      </c>
      <c r="J120" s="84">
        <v>112</v>
      </c>
      <c r="K120" s="84">
        <v>168</v>
      </c>
      <c r="L120" s="84">
        <v>68</v>
      </c>
    </row>
    <row r="121" spans="1:12" ht="15" x14ac:dyDescent="0.25">
      <c r="A121" s="84" t="s">
        <v>424</v>
      </c>
      <c r="B121" s="84" t="s">
        <v>85</v>
      </c>
      <c r="C121" s="84">
        <v>308</v>
      </c>
      <c r="D121" s="84">
        <v>622</v>
      </c>
      <c r="E121" s="84">
        <v>930</v>
      </c>
      <c r="F121" s="84">
        <v>403</v>
      </c>
      <c r="G121" s="84">
        <v>890</v>
      </c>
      <c r="H121" s="84">
        <v>1293</v>
      </c>
      <c r="I121" s="84">
        <v>42</v>
      </c>
      <c r="J121" s="84">
        <v>112</v>
      </c>
      <c r="K121" s="84">
        <v>154</v>
      </c>
      <c r="L121" s="84">
        <v>44</v>
      </c>
    </row>
    <row r="122" spans="1:12" ht="15" x14ac:dyDescent="0.25">
      <c r="A122" s="84" t="s">
        <v>430</v>
      </c>
      <c r="B122" s="84" t="s">
        <v>85</v>
      </c>
      <c r="C122" s="84">
        <v>230</v>
      </c>
      <c r="D122" s="84">
        <v>801</v>
      </c>
      <c r="E122" s="84">
        <v>1031</v>
      </c>
      <c r="F122" s="84">
        <v>414</v>
      </c>
      <c r="G122" s="84">
        <v>946</v>
      </c>
      <c r="H122" s="84">
        <v>1360</v>
      </c>
      <c r="I122" s="84">
        <v>13</v>
      </c>
      <c r="J122" s="84">
        <v>121</v>
      </c>
      <c r="K122" s="84">
        <v>134</v>
      </c>
      <c r="L122" s="84">
        <v>52</v>
      </c>
    </row>
    <row r="123" spans="1:12" ht="15" x14ac:dyDescent="0.25">
      <c r="A123" s="84" t="s">
        <v>440</v>
      </c>
      <c r="B123" s="84" t="s">
        <v>85</v>
      </c>
      <c r="C123" s="84">
        <v>190</v>
      </c>
      <c r="D123" s="84">
        <v>1042</v>
      </c>
      <c r="E123" s="84">
        <v>1232</v>
      </c>
      <c r="F123" s="84">
        <v>459</v>
      </c>
      <c r="G123" s="84">
        <v>1148</v>
      </c>
      <c r="H123" s="84">
        <v>1607</v>
      </c>
      <c r="I123" s="84">
        <v>31</v>
      </c>
      <c r="J123" s="84">
        <v>146</v>
      </c>
      <c r="K123" s="84">
        <v>177</v>
      </c>
      <c r="L123" s="84">
        <v>70</v>
      </c>
    </row>
    <row r="124" spans="1:12" ht="15" x14ac:dyDescent="0.25">
      <c r="A124" s="84" t="s">
        <v>448</v>
      </c>
      <c r="B124" s="84" t="s">
        <v>85</v>
      </c>
      <c r="C124" s="84">
        <v>448</v>
      </c>
      <c r="D124" s="84">
        <v>840</v>
      </c>
      <c r="E124" s="84">
        <v>1288</v>
      </c>
      <c r="F124" s="84">
        <v>470</v>
      </c>
      <c r="G124" s="84">
        <v>986</v>
      </c>
      <c r="H124" s="84">
        <v>1456</v>
      </c>
      <c r="I124" s="84">
        <v>31</v>
      </c>
      <c r="J124" s="84">
        <v>85</v>
      </c>
      <c r="K124" s="84">
        <v>116</v>
      </c>
      <c r="L124" s="84">
        <v>97</v>
      </c>
    </row>
    <row r="125" spans="1:12" ht="15" x14ac:dyDescent="0.25">
      <c r="A125" s="84" t="s">
        <v>457</v>
      </c>
      <c r="B125" s="84" t="s">
        <v>85</v>
      </c>
      <c r="C125" s="84">
        <v>700</v>
      </c>
      <c r="D125" s="84">
        <v>196</v>
      </c>
      <c r="E125" s="84">
        <v>896</v>
      </c>
      <c r="F125" s="84">
        <v>728</v>
      </c>
      <c r="G125" s="84">
        <v>258</v>
      </c>
      <c r="H125" s="84">
        <v>986</v>
      </c>
      <c r="I125" s="84">
        <v>130</v>
      </c>
      <c r="J125" s="84">
        <v>22</v>
      </c>
      <c r="K125" s="84">
        <v>152</v>
      </c>
      <c r="L125" s="84">
        <v>120</v>
      </c>
    </row>
    <row r="126" spans="1:12" ht="15" x14ac:dyDescent="0.25">
      <c r="A126" s="84" t="s">
        <v>463</v>
      </c>
      <c r="B126" s="84" t="s">
        <v>85</v>
      </c>
      <c r="C126" s="84">
        <v>319</v>
      </c>
      <c r="D126" s="84">
        <v>398</v>
      </c>
      <c r="E126" s="84">
        <v>717</v>
      </c>
      <c r="F126" s="84">
        <v>381</v>
      </c>
      <c r="G126" s="84">
        <v>431</v>
      </c>
      <c r="H126" s="84">
        <v>812</v>
      </c>
      <c r="I126" s="84">
        <v>22</v>
      </c>
      <c r="J126" s="84">
        <v>157</v>
      </c>
      <c r="K126" s="84">
        <v>179</v>
      </c>
      <c r="L126" s="84">
        <v>82</v>
      </c>
    </row>
    <row r="127" spans="1:12" ht="15" x14ac:dyDescent="0.25">
      <c r="A127" s="84" t="s">
        <v>472</v>
      </c>
      <c r="B127" s="84" t="s">
        <v>85</v>
      </c>
      <c r="C127" s="84">
        <v>386</v>
      </c>
      <c r="D127" s="84">
        <v>459</v>
      </c>
      <c r="E127" s="84">
        <v>845</v>
      </c>
      <c r="F127" s="84">
        <v>420</v>
      </c>
      <c r="G127" s="84">
        <v>476</v>
      </c>
      <c r="H127" s="84">
        <v>896</v>
      </c>
      <c r="I127" s="84">
        <v>81</v>
      </c>
      <c r="J127" s="84">
        <v>87</v>
      </c>
      <c r="K127" s="84">
        <v>168</v>
      </c>
      <c r="L127" s="84">
        <v>56</v>
      </c>
    </row>
    <row r="128" spans="1:12" ht="15" x14ac:dyDescent="0.25">
      <c r="A128" s="84" t="s">
        <v>480</v>
      </c>
      <c r="B128" s="84" t="s">
        <v>85</v>
      </c>
      <c r="C128" s="84">
        <v>314</v>
      </c>
      <c r="D128" s="84">
        <v>386</v>
      </c>
      <c r="E128" s="84">
        <v>700</v>
      </c>
      <c r="F128" s="84">
        <v>347</v>
      </c>
      <c r="G128" s="84">
        <v>409</v>
      </c>
      <c r="H128" s="84">
        <v>756</v>
      </c>
      <c r="I128" s="84">
        <v>58</v>
      </c>
      <c r="J128" s="84">
        <v>103</v>
      </c>
      <c r="K128" s="84">
        <v>161</v>
      </c>
      <c r="L128" s="84">
        <v>58</v>
      </c>
    </row>
    <row r="129" spans="1:16" ht="15" x14ac:dyDescent="0.25">
      <c r="A129" s="84" t="s">
        <v>488</v>
      </c>
      <c r="B129" s="84" t="s">
        <v>85</v>
      </c>
      <c r="C129" s="84">
        <v>661</v>
      </c>
      <c r="D129" s="84">
        <v>538</v>
      </c>
      <c r="E129" s="84">
        <v>1199</v>
      </c>
      <c r="F129" s="84">
        <v>1103</v>
      </c>
      <c r="G129" s="84">
        <v>1316</v>
      </c>
      <c r="H129" s="84">
        <v>2419</v>
      </c>
      <c r="I129" s="84">
        <v>96</v>
      </c>
      <c r="J129" s="84">
        <v>103</v>
      </c>
      <c r="K129" s="84">
        <v>199</v>
      </c>
      <c r="L129" s="84">
        <v>112</v>
      </c>
    </row>
    <row r="130" spans="1:16" ht="15" x14ac:dyDescent="0.25">
      <c r="A130" s="84" t="s">
        <v>499</v>
      </c>
      <c r="B130" s="84" t="s">
        <v>85</v>
      </c>
      <c r="C130" s="84">
        <v>431</v>
      </c>
      <c r="D130" s="84">
        <v>571</v>
      </c>
      <c r="E130" s="84">
        <v>1002</v>
      </c>
      <c r="F130" s="84">
        <v>459</v>
      </c>
      <c r="G130" s="84">
        <v>638</v>
      </c>
      <c r="H130" s="84">
        <v>1097</v>
      </c>
      <c r="I130" s="84">
        <v>56</v>
      </c>
      <c r="J130" s="84">
        <v>112</v>
      </c>
      <c r="K130" s="84">
        <v>184</v>
      </c>
      <c r="L130" s="84">
        <v>54</v>
      </c>
    </row>
    <row r="131" spans="1:16" ht="15" x14ac:dyDescent="0.25">
      <c r="A131" s="84" t="s">
        <v>504</v>
      </c>
      <c r="B131" s="84" t="s">
        <v>85</v>
      </c>
      <c r="C131" s="84">
        <v>353</v>
      </c>
      <c r="D131" s="84">
        <v>622</v>
      </c>
      <c r="E131" s="84">
        <v>975</v>
      </c>
      <c r="F131" s="84">
        <v>381</v>
      </c>
      <c r="G131" s="84">
        <v>717</v>
      </c>
      <c r="H131" s="84">
        <v>1098</v>
      </c>
      <c r="I131" s="84">
        <v>128</v>
      </c>
      <c r="J131" s="84">
        <v>199</v>
      </c>
      <c r="K131" s="84">
        <v>327</v>
      </c>
      <c r="L131" s="84">
        <v>136</v>
      </c>
    </row>
    <row r="132" spans="1:16" ht="15" x14ac:dyDescent="0.25">
      <c r="A132" s="84" t="s">
        <v>511</v>
      </c>
      <c r="B132" s="84" t="s">
        <v>85</v>
      </c>
      <c r="C132" s="84">
        <v>302</v>
      </c>
      <c r="D132" s="84">
        <v>498</v>
      </c>
      <c r="E132" s="84">
        <v>800</v>
      </c>
      <c r="F132" s="84">
        <v>403</v>
      </c>
      <c r="G132" s="84">
        <v>504</v>
      </c>
      <c r="H132" s="84">
        <v>907</v>
      </c>
      <c r="I132" s="84">
        <v>49</v>
      </c>
      <c r="J132" s="84">
        <v>143</v>
      </c>
      <c r="K132" s="84">
        <v>192</v>
      </c>
      <c r="L132" s="84">
        <v>70</v>
      </c>
      <c r="P132" t="s">
        <v>165</v>
      </c>
    </row>
    <row r="133" spans="1:16" ht="15" x14ac:dyDescent="0.25">
      <c r="A133" s="84" t="s">
        <v>547</v>
      </c>
      <c r="B133" s="84" t="s">
        <v>85</v>
      </c>
      <c r="C133" s="84">
        <v>493</v>
      </c>
      <c r="D133" s="84">
        <v>683</v>
      </c>
      <c r="E133" s="84">
        <v>1176</v>
      </c>
      <c r="F133" s="84">
        <v>594</v>
      </c>
      <c r="G133" s="84">
        <v>711</v>
      </c>
      <c r="H133" s="84">
        <v>1305</v>
      </c>
      <c r="I133" s="84">
        <v>87</v>
      </c>
      <c r="J133" s="84">
        <v>161</v>
      </c>
      <c r="K133" s="84">
        <v>248</v>
      </c>
      <c r="L133" s="84">
        <v>87</v>
      </c>
    </row>
    <row r="134" spans="1:16" ht="15" x14ac:dyDescent="0.25">
      <c r="A134" s="84" t="s">
        <v>593</v>
      </c>
      <c r="B134" s="84" t="s">
        <v>85</v>
      </c>
      <c r="C134" s="84">
        <v>403</v>
      </c>
      <c r="D134" s="84">
        <v>968</v>
      </c>
      <c r="E134" s="84">
        <v>1371</v>
      </c>
      <c r="F134" s="84">
        <v>425</v>
      </c>
      <c r="G134" s="84">
        <v>1250</v>
      </c>
      <c r="H134" s="84">
        <v>1675</v>
      </c>
      <c r="I134" s="84">
        <v>80</v>
      </c>
      <c r="J134" s="84">
        <v>161</v>
      </c>
      <c r="K134" s="84">
        <v>241</v>
      </c>
      <c r="L134" s="84">
        <v>76</v>
      </c>
      <c r="M134" t="s">
        <v>165</v>
      </c>
    </row>
    <row r="135" spans="1:16" ht="15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</row>
    <row r="136" spans="1:16" ht="15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</row>
    <row r="137" spans="1:16" ht="15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</row>
    <row r="138" spans="1:16" ht="15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</row>
    <row r="139" spans="1:16" ht="15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</row>
    <row r="140" spans="1:16" ht="15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</row>
    <row r="141" spans="1:16" ht="15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</row>
    <row r="142" spans="1:16" ht="15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</row>
    <row r="143" spans="1:16" ht="15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</row>
    <row r="144" spans="1:16" ht="15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</row>
    <row r="145" spans="1:12" ht="15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</row>
    <row r="146" spans="1:12" ht="15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</row>
    <row r="147" spans="1:12" ht="15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</row>
    <row r="148" spans="1:12" ht="15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</row>
    <row r="149" spans="1:12" ht="15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</row>
    <row r="150" spans="1:12" ht="15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</row>
    <row r="151" spans="1:12" x14ac:dyDescent="0.3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</row>
    <row r="152" spans="1:12" x14ac:dyDescent="0.3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</row>
    <row r="153" spans="1:12" x14ac:dyDescent="0.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</row>
    <row r="154" spans="1:12" x14ac:dyDescent="0.3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</row>
    <row r="155" spans="1:12" x14ac:dyDescent="0.3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</row>
  </sheetData>
  <mergeCells count="6">
    <mergeCell ref="A1:A3"/>
    <mergeCell ref="B1:B3"/>
    <mergeCell ref="C1:E1"/>
    <mergeCell ref="F1:H1"/>
    <mergeCell ref="I1:L1"/>
    <mergeCell ref="L2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9"/>
  <sheetViews>
    <sheetView workbookViewId="0">
      <pane xSplit="2" ySplit="2" topLeftCell="C754" activePane="bottomRight" state="frozen"/>
      <selection pane="topRight" activeCell="C1" sqref="C1"/>
      <selection pane="bottomLeft" activeCell="A3" sqref="A3"/>
      <selection pane="bottomRight" activeCell="F766" sqref="F766"/>
    </sheetView>
  </sheetViews>
  <sheetFormatPr defaultRowHeight="14.4" x14ac:dyDescent="0.3"/>
  <cols>
    <col min="1" max="1" width="11.44140625" style="48" customWidth="1"/>
    <col min="2" max="2" width="9.109375" style="60"/>
    <col min="3" max="3" width="17.109375" style="48" customWidth="1"/>
    <col min="4" max="4" width="9.109375" style="48"/>
    <col min="5" max="5" width="18.109375" style="48" customWidth="1"/>
    <col min="6" max="6" width="9.88671875" style="48" customWidth="1"/>
  </cols>
  <sheetData>
    <row r="1" spans="1:6" ht="18.75" x14ac:dyDescent="0.3">
      <c r="A1" s="182" t="s">
        <v>96</v>
      </c>
      <c r="B1" s="182"/>
      <c r="C1" s="182"/>
      <c r="D1" s="182"/>
      <c r="E1" s="182"/>
      <c r="F1" s="182"/>
    </row>
    <row r="2" spans="1:6" ht="15" x14ac:dyDescent="0.25">
      <c r="A2" s="64" t="s">
        <v>0</v>
      </c>
      <c r="B2" s="64" t="s">
        <v>1</v>
      </c>
      <c r="C2" s="64" t="s">
        <v>97</v>
      </c>
      <c r="D2" s="64" t="s">
        <v>98</v>
      </c>
      <c r="E2" s="64" t="s">
        <v>99</v>
      </c>
      <c r="F2" s="65" t="s">
        <v>98</v>
      </c>
    </row>
    <row r="3" spans="1:6" ht="15" x14ac:dyDescent="0.25">
      <c r="A3" s="41" t="s">
        <v>101</v>
      </c>
      <c r="B3" s="59" t="s">
        <v>85</v>
      </c>
      <c r="C3" s="41">
        <v>22.8</v>
      </c>
      <c r="D3" s="41">
        <v>150</v>
      </c>
      <c r="E3" s="41">
        <v>21.5</v>
      </c>
      <c r="F3" s="41">
        <v>152</v>
      </c>
    </row>
    <row r="4" spans="1:6" ht="15" x14ac:dyDescent="0.25">
      <c r="A4" s="41"/>
      <c r="B4" s="59" t="s">
        <v>102</v>
      </c>
      <c r="C4" s="57">
        <v>19.8</v>
      </c>
      <c r="D4" s="57">
        <v>146</v>
      </c>
      <c r="E4" s="57">
        <v>20.2</v>
      </c>
      <c r="F4" s="57">
        <v>148</v>
      </c>
    </row>
    <row r="5" spans="1:6" ht="15" x14ac:dyDescent="0.25">
      <c r="A5" s="41"/>
      <c r="B5" s="59" t="s">
        <v>103</v>
      </c>
      <c r="C5" s="57">
        <v>22.3</v>
      </c>
      <c r="D5" s="57">
        <v>144</v>
      </c>
      <c r="E5" s="57">
        <v>23.1</v>
      </c>
      <c r="F5" s="57">
        <v>146</v>
      </c>
    </row>
    <row r="6" spans="1:6" ht="15" x14ac:dyDescent="0.25">
      <c r="A6" s="41" t="s">
        <v>105</v>
      </c>
      <c r="B6" s="59" t="s">
        <v>85</v>
      </c>
      <c r="C6" s="57">
        <v>17.2</v>
      </c>
      <c r="D6" s="57">
        <v>152</v>
      </c>
      <c r="E6" s="57">
        <v>17.8</v>
      </c>
      <c r="F6" s="57">
        <v>155</v>
      </c>
    </row>
    <row r="7" spans="1:6" ht="15" x14ac:dyDescent="0.25">
      <c r="A7" s="41"/>
      <c r="B7" s="59" t="s">
        <v>102</v>
      </c>
      <c r="C7" s="57">
        <v>24.8</v>
      </c>
      <c r="D7" s="57">
        <v>152</v>
      </c>
      <c r="E7" s="57">
        <v>25.1</v>
      </c>
      <c r="F7" s="57">
        <v>154</v>
      </c>
    </row>
    <row r="8" spans="1:6" ht="15" x14ac:dyDescent="0.25">
      <c r="A8" s="41"/>
      <c r="B8" s="59" t="s">
        <v>103</v>
      </c>
      <c r="C8" s="57">
        <v>21.8</v>
      </c>
      <c r="D8" s="57">
        <v>146</v>
      </c>
      <c r="E8" s="57">
        <v>22.3</v>
      </c>
      <c r="F8" s="57">
        <v>150</v>
      </c>
    </row>
    <row r="9" spans="1:6" ht="15" x14ac:dyDescent="0.25">
      <c r="A9" s="41" t="s">
        <v>106</v>
      </c>
      <c r="B9" s="59" t="s">
        <v>85</v>
      </c>
      <c r="C9" s="57">
        <v>19.8</v>
      </c>
      <c r="D9" s="57">
        <v>140</v>
      </c>
      <c r="E9" s="57">
        <v>23.3</v>
      </c>
      <c r="F9" s="57">
        <v>141</v>
      </c>
    </row>
    <row r="10" spans="1:6" ht="15" x14ac:dyDescent="0.25">
      <c r="A10" s="41"/>
      <c r="B10" s="59" t="s">
        <v>102</v>
      </c>
      <c r="C10" s="57">
        <v>19.600000000000001</v>
      </c>
      <c r="D10" s="57">
        <v>142</v>
      </c>
      <c r="E10" s="57">
        <v>20.100000000000001</v>
      </c>
      <c r="F10" s="57">
        <v>138</v>
      </c>
    </row>
    <row r="11" spans="1:6" ht="15" x14ac:dyDescent="0.25">
      <c r="A11" s="41"/>
      <c r="B11" s="59" t="s">
        <v>103</v>
      </c>
      <c r="C11" s="57">
        <v>21.4</v>
      </c>
      <c r="D11" s="57">
        <v>144</v>
      </c>
      <c r="E11" s="57">
        <v>22.3</v>
      </c>
      <c r="F11" s="57">
        <v>148</v>
      </c>
    </row>
    <row r="12" spans="1:6" ht="15" x14ac:dyDescent="0.25">
      <c r="A12" s="41" t="s">
        <v>110</v>
      </c>
      <c r="B12" s="59" t="s">
        <v>85</v>
      </c>
      <c r="C12" s="57">
        <v>18.399999999999999</v>
      </c>
      <c r="D12" s="57">
        <v>142</v>
      </c>
      <c r="E12" s="57">
        <v>20.2</v>
      </c>
      <c r="F12" s="57">
        <v>140</v>
      </c>
    </row>
    <row r="13" spans="1:6" ht="15" x14ac:dyDescent="0.25">
      <c r="A13" s="41"/>
      <c r="B13" s="59" t="s">
        <v>102</v>
      </c>
      <c r="C13" s="57">
        <v>20.8</v>
      </c>
      <c r="D13" s="57">
        <v>142</v>
      </c>
      <c r="E13" s="57">
        <v>21.2</v>
      </c>
      <c r="F13" s="57">
        <v>136</v>
      </c>
    </row>
    <row r="14" spans="1:6" ht="15" x14ac:dyDescent="0.25">
      <c r="A14" s="41"/>
      <c r="B14" s="59" t="s">
        <v>103</v>
      </c>
      <c r="C14" s="57">
        <v>19.8</v>
      </c>
      <c r="D14" s="57">
        <v>144</v>
      </c>
      <c r="E14" s="57">
        <v>20.6</v>
      </c>
      <c r="F14" s="57">
        <v>140</v>
      </c>
    </row>
    <row r="15" spans="1:6" ht="15" x14ac:dyDescent="0.25">
      <c r="A15" s="41" t="s">
        <v>113</v>
      </c>
      <c r="B15" s="59" t="s">
        <v>85</v>
      </c>
      <c r="C15" s="57">
        <v>19.899999999999999</v>
      </c>
      <c r="D15" s="57">
        <v>142</v>
      </c>
      <c r="E15" s="57">
        <v>24.1</v>
      </c>
      <c r="F15" s="57">
        <v>140</v>
      </c>
    </row>
    <row r="16" spans="1:6" ht="15" x14ac:dyDescent="0.25">
      <c r="A16" s="41"/>
      <c r="B16" s="59" t="s">
        <v>102</v>
      </c>
      <c r="C16" s="57">
        <v>19.2</v>
      </c>
      <c r="D16" s="57">
        <v>141</v>
      </c>
      <c r="E16" s="57">
        <v>19.8</v>
      </c>
      <c r="F16" s="57">
        <v>145</v>
      </c>
    </row>
    <row r="17" spans="1:6" ht="15" x14ac:dyDescent="0.25">
      <c r="A17" s="41"/>
      <c r="B17" s="59" t="s">
        <v>103</v>
      </c>
      <c r="C17" s="57">
        <v>22.7</v>
      </c>
      <c r="D17" s="57">
        <v>144</v>
      </c>
      <c r="E17" s="57">
        <v>24.1</v>
      </c>
      <c r="F17" s="57">
        <v>146</v>
      </c>
    </row>
    <row r="18" spans="1:6" ht="15" x14ac:dyDescent="0.25">
      <c r="A18" s="41" t="s">
        <v>115</v>
      </c>
      <c r="B18" s="59" t="s">
        <v>85</v>
      </c>
      <c r="C18" s="57">
        <v>23.2</v>
      </c>
      <c r="D18" s="57">
        <v>150</v>
      </c>
      <c r="E18" s="57">
        <v>26.5</v>
      </c>
      <c r="F18" s="57">
        <v>153</v>
      </c>
    </row>
    <row r="19" spans="1:6" ht="15" x14ac:dyDescent="0.25">
      <c r="A19" s="41"/>
      <c r="B19" s="59" t="s">
        <v>102</v>
      </c>
      <c r="C19" s="57">
        <v>20.9</v>
      </c>
      <c r="D19" s="57">
        <v>148</v>
      </c>
      <c r="E19" s="57">
        <v>22.2</v>
      </c>
      <c r="F19" s="57">
        <v>148</v>
      </c>
    </row>
    <row r="20" spans="1:6" ht="15" x14ac:dyDescent="0.25">
      <c r="A20" s="41"/>
      <c r="B20" s="59" t="s">
        <v>103</v>
      </c>
      <c r="C20" s="57">
        <v>24.4</v>
      </c>
      <c r="D20" s="57">
        <v>148</v>
      </c>
      <c r="E20" s="57">
        <v>25.3</v>
      </c>
      <c r="F20" s="57">
        <v>150</v>
      </c>
    </row>
    <row r="21" spans="1:6" ht="15" x14ac:dyDescent="0.25">
      <c r="A21" s="41" t="s">
        <v>116</v>
      </c>
      <c r="B21" s="59" t="s">
        <v>85</v>
      </c>
      <c r="C21" s="57">
        <v>23.5</v>
      </c>
      <c r="D21" s="57">
        <v>140</v>
      </c>
      <c r="E21" s="57">
        <v>24.3</v>
      </c>
      <c r="F21" s="57">
        <v>136</v>
      </c>
    </row>
    <row r="22" spans="1:6" ht="15" x14ac:dyDescent="0.25">
      <c r="A22" s="41"/>
      <c r="B22" s="59" t="s">
        <v>102</v>
      </c>
      <c r="C22" s="57">
        <v>17.5</v>
      </c>
      <c r="D22" s="57">
        <v>138</v>
      </c>
      <c r="E22" s="57">
        <v>18.899999999999999</v>
      </c>
      <c r="F22" s="57">
        <v>136</v>
      </c>
    </row>
    <row r="23" spans="1:6" ht="15" x14ac:dyDescent="0.25">
      <c r="A23" s="41"/>
      <c r="B23" s="59" t="s">
        <v>103</v>
      </c>
      <c r="C23" s="57">
        <v>17.2</v>
      </c>
      <c r="D23" s="57">
        <v>140</v>
      </c>
      <c r="E23" s="57">
        <v>17.8</v>
      </c>
      <c r="F23" s="57">
        <v>138</v>
      </c>
    </row>
    <row r="24" spans="1:6" ht="15" x14ac:dyDescent="0.25">
      <c r="A24" s="41" t="s">
        <v>118</v>
      </c>
      <c r="B24" s="59" t="s">
        <v>85</v>
      </c>
      <c r="C24" s="57">
        <v>15</v>
      </c>
      <c r="D24" s="57">
        <v>142</v>
      </c>
      <c r="E24" s="57">
        <v>17.7</v>
      </c>
      <c r="F24" s="57">
        <v>146</v>
      </c>
    </row>
    <row r="25" spans="1:6" ht="15" x14ac:dyDescent="0.25">
      <c r="A25" s="41"/>
      <c r="B25" s="59" t="s">
        <v>102</v>
      </c>
      <c r="C25" s="57">
        <v>17.5</v>
      </c>
      <c r="D25" s="57">
        <v>144</v>
      </c>
      <c r="E25" s="57">
        <v>18.399999999999999</v>
      </c>
      <c r="F25" s="57">
        <v>148</v>
      </c>
    </row>
    <row r="26" spans="1:6" ht="15" x14ac:dyDescent="0.25">
      <c r="A26" s="41"/>
      <c r="B26" s="59" t="s">
        <v>103</v>
      </c>
      <c r="C26" s="57">
        <v>18</v>
      </c>
      <c r="D26" s="57">
        <v>144</v>
      </c>
      <c r="E26" s="57">
        <v>18.5</v>
      </c>
      <c r="F26" s="57">
        <v>146</v>
      </c>
    </row>
    <row r="27" spans="1:6" ht="15" x14ac:dyDescent="0.25">
      <c r="A27" s="41" t="s">
        <v>119</v>
      </c>
      <c r="B27" s="59" t="s">
        <v>85</v>
      </c>
      <c r="C27" s="57">
        <v>19.8</v>
      </c>
      <c r="D27" s="57">
        <v>146</v>
      </c>
      <c r="E27" s="57">
        <v>20.5</v>
      </c>
      <c r="F27" s="57">
        <v>145</v>
      </c>
    </row>
    <row r="28" spans="1:6" ht="15" x14ac:dyDescent="0.25">
      <c r="A28" s="41"/>
      <c r="B28" s="59" t="s">
        <v>102</v>
      </c>
      <c r="C28" s="57">
        <v>14.1</v>
      </c>
      <c r="D28" s="57">
        <v>138</v>
      </c>
      <c r="E28" s="57">
        <v>16.5</v>
      </c>
      <c r="F28" s="57">
        <v>136</v>
      </c>
    </row>
    <row r="29" spans="1:6" ht="15" x14ac:dyDescent="0.25">
      <c r="A29" s="41"/>
      <c r="B29" s="59" t="s">
        <v>103</v>
      </c>
      <c r="C29" s="57">
        <v>19.600000000000001</v>
      </c>
      <c r="D29" s="57">
        <v>144</v>
      </c>
      <c r="E29" s="57">
        <v>17.2</v>
      </c>
      <c r="F29" s="57">
        <v>140</v>
      </c>
    </row>
    <row r="30" spans="1:6" ht="15" x14ac:dyDescent="0.25">
      <c r="A30" s="41" t="s">
        <v>120</v>
      </c>
      <c r="B30" s="59" t="s">
        <v>85</v>
      </c>
      <c r="C30" s="41">
        <v>16.5</v>
      </c>
      <c r="D30" s="41">
        <v>142</v>
      </c>
      <c r="E30" s="41">
        <v>17</v>
      </c>
      <c r="F30" s="41">
        <v>144</v>
      </c>
    </row>
    <row r="31" spans="1:6" ht="15" x14ac:dyDescent="0.25">
      <c r="A31" s="41"/>
      <c r="B31" s="59" t="s">
        <v>102</v>
      </c>
      <c r="C31" s="41">
        <v>18.2</v>
      </c>
      <c r="D31" s="41">
        <v>148</v>
      </c>
      <c r="E31" s="41">
        <v>19.899999999999999</v>
      </c>
      <c r="F31" s="41">
        <v>145</v>
      </c>
    </row>
    <row r="32" spans="1:6" ht="15" x14ac:dyDescent="0.25">
      <c r="A32" s="41"/>
      <c r="B32" s="59" t="s">
        <v>103</v>
      </c>
      <c r="C32" s="41">
        <v>18.7</v>
      </c>
      <c r="D32" s="41">
        <v>146</v>
      </c>
      <c r="E32" s="41">
        <v>18.100000000000001</v>
      </c>
      <c r="F32" s="41">
        <v>147</v>
      </c>
    </row>
    <row r="33" spans="1:6" ht="15" x14ac:dyDescent="0.25">
      <c r="A33" s="41" t="s">
        <v>121</v>
      </c>
      <c r="B33" s="59" t="s">
        <v>85</v>
      </c>
      <c r="C33" s="41">
        <v>19.399999999999999</v>
      </c>
      <c r="D33" s="41">
        <v>144</v>
      </c>
      <c r="E33" s="41">
        <v>20.2</v>
      </c>
      <c r="F33" s="41">
        <v>142</v>
      </c>
    </row>
    <row r="34" spans="1:6" ht="15" x14ac:dyDescent="0.25">
      <c r="A34" s="41"/>
      <c r="B34" s="59" t="s">
        <v>102</v>
      </c>
      <c r="C34" s="41">
        <v>17.899999999999999</v>
      </c>
      <c r="D34" s="41">
        <v>138</v>
      </c>
      <c r="E34" s="41">
        <v>18.600000000000001</v>
      </c>
      <c r="F34" s="41">
        <v>140</v>
      </c>
    </row>
    <row r="35" spans="1:6" ht="15" x14ac:dyDescent="0.25">
      <c r="A35" s="41"/>
      <c r="B35" s="59" t="s">
        <v>103</v>
      </c>
      <c r="C35" s="41">
        <v>17.5</v>
      </c>
      <c r="D35" s="41">
        <v>138</v>
      </c>
      <c r="E35" s="41">
        <v>18.899999999999999</v>
      </c>
      <c r="F35" s="41">
        <v>140</v>
      </c>
    </row>
    <row r="36" spans="1:6" ht="15" x14ac:dyDescent="0.25">
      <c r="A36" s="41" t="s">
        <v>123</v>
      </c>
      <c r="B36" s="59" t="s">
        <v>85</v>
      </c>
      <c r="C36" s="41">
        <v>19.899999999999999</v>
      </c>
      <c r="D36" s="41">
        <v>158</v>
      </c>
      <c r="E36" s="41">
        <v>22.7</v>
      </c>
      <c r="F36" s="41">
        <v>155</v>
      </c>
    </row>
    <row r="37" spans="1:6" ht="15" x14ac:dyDescent="0.25">
      <c r="A37" s="41"/>
      <c r="B37" s="59" t="s">
        <v>102</v>
      </c>
      <c r="C37" s="41">
        <v>22.9</v>
      </c>
      <c r="D37" s="41">
        <v>160</v>
      </c>
      <c r="E37" s="41">
        <v>24.3</v>
      </c>
      <c r="F37" s="41">
        <v>158</v>
      </c>
    </row>
    <row r="38" spans="1:6" ht="15" x14ac:dyDescent="0.25">
      <c r="A38" s="41"/>
      <c r="B38" s="59" t="s">
        <v>103</v>
      </c>
      <c r="C38" s="41">
        <v>23</v>
      </c>
      <c r="D38" s="41">
        <v>158</v>
      </c>
      <c r="E38" s="41">
        <v>24.5</v>
      </c>
      <c r="F38" s="41">
        <v>154</v>
      </c>
    </row>
    <row r="39" spans="1:6" ht="15" x14ac:dyDescent="0.25">
      <c r="A39" s="41" t="s">
        <v>124</v>
      </c>
      <c r="B39" s="59" t="s">
        <v>85</v>
      </c>
      <c r="C39" s="41">
        <v>25.2</v>
      </c>
      <c r="D39" s="41">
        <v>156</v>
      </c>
      <c r="E39" s="41">
        <v>25.7</v>
      </c>
      <c r="F39" s="41">
        <v>154</v>
      </c>
    </row>
    <row r="40" spans="1:6" ht="15" x14ac:dyDescent="0.25">
      <c r="A40" s="41"/>
      <c r="B40" s="59" t="s">
        <v>102</v>
      </c>
      <c r="C40" s="41">
        <v>18.600000000000001</v>
      </c>
      <c r="D40" s="41">
        <v>150</v>
      </c>
      <c r="E40" s="41">
        <v>20.5</v>
      </c>
      <c r="F40" s="41">
        <v>152</v>
      </c>
    </row>
    <row r="41" spans="1:6" ht="15" x14ac:dyDescent="0.25">
      <c r="A41" s="41"/>
      <c r="B41" s="59" t="s">
        <v>103</v>
      </c>
      <c r="C41" s="41">
        <v>21.2</v>
      </c>
      <c r="D41" s="41">
        <v>148</v>
      </c>
      <c r="E41" s="41">
        <v>22.5</v>
      </c>
      <c r="F41" s="41">
        <v>150</v>
      </c>
    </row>
    <row r="42" spans="1:6" ht="15" x14ac:dyDescent="0.25">
      <c r="A42" s="41" t="s">
        <v>125</v>
      </c>
      <c r="B42" s="59" t="s">
        <v>85</v>
      </c>
      <c r="C42" s="41">
        <v>23.6</v>
      </c>
      <c r="D42" s="41">
        <v>140</v>
      </c>
      <c r="E42" s="41">
        <v>24.2</v>
      </c>
      <c r="F42" s="41">
        <v>141</v>
      </c>
    </row>
    <row r="43" spans="1:6" ht="15" x14ac:dyDescent="0.25">
      <c r="A43" s="41"/>
      <c r="B43" s="59" t="s">
        <v>102</v>
      </c>
      <c r="C43" s="41">
        <v>20.6</v>
      </c>
      <c r="D43" s="41">
        <v>144</v>
      </c>
      <c r="E43" s="41">
        <v>21.2</v>
      </c>
      <c r="F43" s="41">
        <v>145</v>
      </c>
    </row>
    <row r="44" spans="1:6" ht="15" x14ac:dyDescent="0.25">
      <c r="A44" s="41"/>
      <c r="B44" s="59" t="s">
        <v>103</v>
      </c>
      <c r="C44" s="41">
        <v>23.3</v>
      </c>
      <c r="D44" s="41">
        <v>144</v>
      </c>
      <c r="E44" s="41">
        <v>24.2</v>
      </c>
      <c r="F44" s="41">
        <v>148</v>
      </c>
    </row>
    <row r="45" spans="1:6" ht="15" x14ac:dyDescent="0.25">
      <c r="A45" s="41" t="s">
        <v>128</v>
      </c>
      <c r="B45" s="59" t="s">
        <v>85</v>
      </c>
      <c r="C45" s="41">
        <v>28.9</v>
      </c>
      <c r="D45" s="41">
        <v>139</v>
      </c>
      <c r="E45" s="41">
        <v>26.3</v>
      </c>
      <c r="F45" s="41">
        <v>138</v>
      </c>
    </row>
    <row r="46" spans="1:6" ht="15" x14ac:dyDescent="0.25">
      <c r="A46" s="41"/>
      <c r="B46" s="59" t="s">
        <v>102</v>
      </c>
      <c r="C46" s="41">
        <v>21.6</v>
      </c>
      <c r="D46" s="41">
        <v>142</v>
      </c>
      <c r="E46" s="41">
        <v>22.8</v>
      </c>
      <c r="F46" s="41">
        <v>146</v>
      </c>
    </row>
    <row r="47" spans="1:6" ht="15" x14ac:dyDescent="0.25">
      <c r="A47" s="41"/>
      <c r="B47" s="59" t="s">
        <v>103</v>
      </c>
      <c r="C47" s="41">
        <v>22.6</v>
      </c>
      <c r="D47" s="41">
        <v>146</v>
      </c>
      <c r="E47" s="41">
        <v>21.2</v>
      </c>
      <c r="F47" s="41">
        <v>144</v>
      </c>
    </row>
    <row r="48" spans="1:6" ht="15" x14ac:dyDescent="0.25">
      <c r="A48" s="41" t="s">
        <v>129</v>
      </c>
      <c r="B48" s="59" t="s">
        <v>85</v>
      </c>
      <c r="C48" s="41">
        <v>23.9</v>
      </c>
      <c r="D48" s="41">
        <v>150</v>
      </c>
      <c r="E48" s="41">
        <v>21.6</v>
      </c>
      <c r="F48" s="41">
        <v>148</v>
      </c>
    </row>
    <row r="49" spans="1:6" ht="15" x14ac:dyDescent="0.25">
      <c r="A49" s="41"/>
      <c r="B49" s="59" t="s">
        <v>102</v>
      </c>
      <c r="C49" s="41">
        <v>20.6</v>
      </c>
      <c r="D49" s="41">
        <v>143</v>
      </c>
      <c r="E49" s="41">
        <v>21.8</v>
      </c>
      <c r="F49" s="41">
        <v>146</v>
      </c>
    </row>
    <row r="50" spans="1:6" ht="15" x14ac:dyDescent="0.25">
      <c r="A50" s="41"/>
      <c r="B50" s="59" t="s">
        <v>103</v>
      </c>
      <c r="C50" s="41">
        <v>22.2</v>
      </c>
      <c r="D50" s="41">
        <v>146</v>
      </c>
      <c r="E50" s="41">
        <v>23.3</v>
      </c>
      <c r="F50" s="41">
        <v>150</v>
      </c>
    </row>
    <row r="51" spans="1:6" ht="15" x14ac:dyDescent="0.25">
      <c r="A51" s="41" t="s">
        <v>130</v>
      </c>
      <c r="B51" s="59" t="s">
        <v>85</v>
      </c>
      <c r="C51" s="41">
        <v>19.2</v>
      </c>
      <c r="D51" s="41">
        <v>152</v>
      </c>
      <c r="E51" s="41">
        <v>20.5</v>
      </c>
      <c r="F51" s="41">
        <v>151</v>
      </c>
    </row>
    <row r="52" spans="1:6" ht="15" x14ac:dyDescent="0.25">
      <c r="A52" s="41"/>
      <c r="B52" s="59" t="s">
        <v>102</v>
      </c>
      <c r="C52" s="41">
        <v>19.899999999999999</v>
      </c>
      <c r="D52" s="41">
        <v>148</v>
      </c>
      <c r="E52" s="41">
        <v>21.6</v>
      </c>
      <c r="F52" s="41">
        <v>150</v>
      </c>
    </row>
    <row r="53" spans="1:6" ht="15" x14ac:dyDescent="0.25">
      <c r="A53" s="41"/>
      <c r="B53" s="59" t="s">
        <v>103</v>
      </c>
      <c r="C53" s="41">
        <v>24.2</v>
      </c>
      <c r="D53" s="41">
        <v>148</v>
      </c>
      <c r="E53" s="41">
        <v>25.5</v>
      </c>
      <c r="F53" s="41">
        <v>146</v>
      </c>
    </row>
    <row r="54" spans="1:6" ht="15" x14ac:dyDescent="0.25">
      <c r="A54" s="41" t="s">
        <v>131</v>
      </c>
      <c r="B54" s="59" t="s">
        <v>85</v>
      </c>
      <c r="C54" s="41">
        <v>18.899999999999999</v>
      </c>
      <c r="D54" s="41">
        <v>151</v>
      </c>
      <c r="E54" s="41">
        <v>19.2</v>
      </c>
      <c r="F54" s="41">
        <v>152</v>
      </c>
    </row>
    <row r="55" spans="1:6" ht="15" x14ac:dyDescent="0.25">
      <c r="A55" s="41"/>
      <c r="B55" s="59" t="s">
        <v>102</v>
      </c>
      <c r="C55" s="41">
        <v>20.100000000000001</v>
      </c>
      <c r="D55" s="41">
        <v>150</v>
      </c>
      <c r="E55" s="41">
        <v>20.6</v>
      </c>
      <c r="F55" s="41">
        <v>148</v>
      </c>
    </row>
    <row r="56" spans="1:6" ht="15" x14ac:dyDescent="0.25">
      <c r="A56" s="41"/>
      <c r="B56" s="59" t="s">
        <v>103</v>
      </c>
      <c r="C56" s="41">
        <v>24.3</v>
      </c>
      <c r="D56" s="41">
        <v>146</v>
      </c>
      <c r="E56" s="41">
        <v>22.7</v>
      </c>
      <c r="F56" s="41">
        <v>148</v>
      </c>
    </row>
    <row r="57" spans="1:6" ht="15" x14ac:dyDescent="0.25">
      <c r="A57" s="41" t="s">
        <v>134</v>
      </c>
      <c r="B57" s="59" t="s">
        <v>85</v>
      </c>
      <c r="C57" s="41">
        <v>17.899999999999999</v>
      </c>
      <c r="D57" s="41">
        <v>137</v>
      </c>
      <c r="E57" s="41">
        <v>18.399999999999999</v>
      </c>
      <c r="F57" s="41">
        <v>135</v>
      </c>
    </row>
    <row r="58" spans="1:6" ht="15" x14ac:dyDescent="0.25">
      <c r="A58" s="41"/>
      <c r="B58" s="59" t="s">
        <v>102</v>
      </c>
      <c r="C58" s="41">
        <v>16.8</v>
      </c>
      <c r="D58" s="41">
        <v>142</v>
      </c>
      <c r="E58" s="41">
        <v>17.2</v>
      </c>
      <c r="F58" s="41">
        <v>140</v>
      </c>
    </row>
    <row r="59" spans="1:6" ht="15" x14ac:dyDescent="0.25">
      <c r="A59" s="41"/>
      <c r="B59" s="59" t="s">
        <v>103</v>
      </c>
      <c r="C59" s="41">
        <v>18.899999999999999</v>
      </c>
      <c r="D59" s="41">
        <v>138</v>
      </c>
      <c r="E59" s="41">
        <v>19.600000000000001</v>
      </c>
      <c r="F59" s="41">
        <v>140</v>
      </c>
    </row>
    <row r="60" spans="1:6" ht="15" x14ac:dyDescent="0.25">
      <c r="A60" s="41" t="s">
        <v>136</v>
      </c>
      <c r="B60" s="59" t="s">
        <v>85</v>
      </c>
      <c r="C60" s="41">
        <v>19.899999999999999</v>
      </c>
      <c r="D60" s="41">
        <v>136</v>
      </c>
      <c r="E60" s="41">
        <v>20.100000000000001</v>
      </c>
      <c r="F60" s="41">
        <v>138</v>
      </c>
    </row>
    <row r="61" spans="1:6" ht="15" x14ac:dyDescent="0.25">
      <c r="A61" s="41"/>
      <c r="B61" s="59" t="s">
        <v>102</v>
      </c>
      <c r="C61" s="41">
        <v>24.1</v>
      </c>
      <c r="D61" s="41">
        <v>140</v>
      </c>
      <c r="E61" s="41">
        <v>23.4</v>
      </c>
      <c r="F61" s="41">
        <v>139</v>
      </c>
    </row>
    <row r="62" spans="1:6" ht="15" x14ac:dyDescent="0.25">
      <c r="A62" s="41"/>
      <c r="B62" s="59" t="s">
        <v>103</v>
      </c>
      <c r="C62" s="41">
        <v>25.5</v>
      </c>
      <c r="D62" s="41">
        <v>142</v>
      </c>
      <c r="E62" s="41">
        <v>24.2</v>
      </c>
      <c r="F62" s="41">
        <v>140</v>
      </c>
    </row>
    <row r="63" spans="1:6" ht="15" x14ac:dyDescent="0.25">
      <c r="A63" s="41" t="s">
        <v>137</v>
      </c>
      <c r="B63" s="59" t="s">
        <v>85</v>
      </c>
      <c r="C63" s="41">
        <v>16.5</v>
      </c>
      <c r="D63" s="41">
        <v>132</v>
      </c>
      <c r="E63" s="41">
        <v>16.7</v>
      </c>
      <c r="F63" s="41">
        <v>130</v>
      </c>
    </row>
    <row r="64" spans="1:6" ht="15" x14ac:dyDescent="0.25">
      <c r="A64" s="41"/>
      <c r="B64" s="59" t="s">
        <v>102</v>
      </c>
      <c r="C64" s="41">
        <v>18.2</v>
      </c>
      <c r="D64" s="41">
        <v>135</v>
      </c>
      <c r="E64" s="41">
        <v>19.8</v>
      </c>
      <c r="F64" s="41">
        <v>132</v>
      </c>
    </row>
    <row r="65" spans="1:6" ht="15" x14ac:dyDescent="0.25">
      <c r="A65" s="41"/>
      <c r="B65" s="59" t="s">
        <v>103</v>
      </c>
      <c r="C65" s="41">
        <v>19.600000000000001</v>
      </c>
      <c r="D65" s="41">
        <v>138</v>
      </c>
      <c r="E65" s="41">
        <v>20.2</v>
      </c>
      <c r="F65" s="41">
        <v>140</v>
      </c>
    </row>
    <row r="66" spans="1:6" ht="15" x14ac:dyDescent="0.25">
      <c r="A66" s="41" t="s">
        <v>138</v>
      </c>
      <c r="B66" s="59" t="s">
        <v>85</v>
      </c>
      <c r="C66" s="41">
        <v>15.6</v>
      </c>
      <c r="D66" s="41">
        <v>130</v>
      </c>
      <c r="E66" s="41">
        <v>16.100000000000001</v>
      </c>
      <c r="F66" s="41">
        <v>134</v>
      </c>
    </row>
    <row r="67" spans="1:6" ht="15" x14ac:dyDescent="0.25">
      <c r="A67" s="41"/>
      <c r="B67" s="59" t="s">
        <v>102</v>
      </c>
      <c r="C67" s="41">
        <v>13.6</v>
      </c>
      <c r="D67" s="41">
        <v>136</v>
      </c>
      <c r="E67" s="41">
        <v>16.2</v>
      </c>
      <c r="F67" s="41">
        <v>138</v>
      </c>
    </row>
    <row r="68" spans="1:6" ht="15" x14ac:dyDescent="0.25">
      <c r="A68" s="41"/>
      <c r="B68" s="59" t="s">
        <v>103</v>
      </c>
      <c r="C68" s="41">
        <v>15.5</v>
      </c>
      <c r="D68" s="41">
        <v>138</v>
      </c>
      <c r="E68" s="41">
        <v>16.5</v>
      </c>
      <c r="F68" s="41">
        <v>140</v>
      </c>
    </row>
    <row r="69" spans="1:6" ht="15" x14ac:dyDescent="0.25">
      <c r="A69" s="41" t="s">
        <v>140</v>
      </c>
      <c r="B69" s="59" t="s">
        <v>85</v>
      </c>
      <c r="C69" s="41">
        <v>15</v>
      </c>
      <c r="D69" s="41">
        <v>132</v>
      </c>
      <c r="E69" s="41">
        <v>15.2</v>
      </c>
      <c r="F69" s="41">
        <v>130</v>
      </c>
    </row>
    <row r="70" spans="1:6" ht="15" x14ac:dyDescent="0.25">
      <c r="A70" s="41"/>
      <c r="B70" s="59" t="s">
        <v>102</v>
      </c>
      <c r="C70" s="41">
        <v>16</v>
      </c>
      <c r="D70" s="41">
        <v>131</v>
      </c>
      <c r="E70" s="41">
        <v>16.399999999999999</v>
      </c>
      <c r="F70" s="41">
        <v>130</v>
      </c>
    </row>
    <row r="71" spans="1:6" ht="15" x14ac:dyDescent="0.25">
      <c r="A71" s="41"/>
      <c r="B71" s="59" t="s">
        <v>103</v>
      </c>
      <c r="C71" s="41">
        <v>16.5</v>
      </c>
      <c r="D71" s="41">
        <v>140</v>
      </c>
      <c r="E71" s="41">
        <v>17.8</v>
      </c>
      <c r="F71" s="41">
        <v>136</v>
      </c>
    </row>
    <row r="72" spans="1:6" ht="15" x14ac:dyDescent="0.25">
      <c r="A72" s="41" t="s">
        <v>143</v>
      </c>
      <c r="B72" s="59" t="s">
        <v>85</v>
      </c>
      <c r="C72" s="41">
        <v>17.5</v>
      </c>
      <c r="D72" s="41">
        <v>132</v>
      </c>
      <c r="E72" s="41">
        <v>21</v>
      </c>
      <c r="F72" s="41">
        <v>135</v>
      </c>
    </row>
    <row r="73" spans="1:6" ht="15" x14ac:dyDescent="0.25">
      <c r="A73" s="41"/>
      <c r="B73" s="59" t="s">
        <v>102</v>
      </c>
      <c r="C73" s="41">
        <v>18.899999999999999</v>
      </c>
      <c r="D73" s="41">
        <v>135</v>
      </c>
      <c r="E73" s="41">
        <v>20.2</v>
      </c>
      <c r="F73" s="41">
        <v>138</v>
      </c>
    </row>
    <row r="74" spans="1:6" ht="15" x14ac:dyDescent="0.25">
      <c r="A74" s="41"/>
      <c r="B74" s="59" t="s">
        <v>103</v>
      </c>
      <c r="C74" s="41">
        <v>16.5</v>
      </c>
      <c r="D74" s="41">
        <v>140</v>
      </c>
      <c r="E74" s="41">
        <v>19.899999999999999</v>
      </c>
      <c r="F74" s="41">
        <v>135</v>
      </c>
    </row>
    <row r="75" spans="1:6" ht="15" x14ac:dyDescent="0.25">
      <c r="A75" s="41" t="s">
        <v>145</v>
      </c>
      <c r="B75" s="59" t="s">
        <v>85</v>
      </c>
      <c r="C75" s="41">
        <v>24.3</v>
      </c>
      <c r="D75" s="41">
        <v>138</v>
      </c>
      <c r="E75" s="41">
        <v>25.2</v>
      </c>
      <c r="F75" s="41">
        <v>140</v>
      </c>
    </row>
    <row r="76" spans="1:6" ht="15" x14ac:dyDescent="0.25">
      <c r="A76" s="41"/>
      <c r="B76" s="59" t="s">
        <v>102</v>
      </c>
      <c r="C76" s="41">
        <v>17.899999999999999</v>
      </c>
      <c r="D76" s="41">
        <v>134</v>
      </c>
      <c r="E76" s="41">
        <v>18.899999999999999</v>
      </c>
      <c r="F76" s="41">
        <v>136</v>
      </c>
    </row>
    <row r="77" spans="1:6" ht="15" x14ac:dyDescent="0.25">
      <c r="A77" s="41"/>
      <c r="B77" s="59" t="s">
        <v>103</v>
      </c>
      <c r="C77" s="41">
        <v>17.899999999999999</v>
      </c>
      <c r="D77" s="41">
        <v>134</v>
      </c>
      <c r="E77" s="41">
        <v>18.399999999999999</v>
      </c>
      <c r="F77" s="41">
        <v>136</v>
      </c>
    </row>
    <row r="78" spans="1:6" ht="15" x14ac:dyDescent="0.25">
      <c r="A78" s="41" t="s">
        <v>146</v>
      </c>
      <c r="B78" s="59" t="s">
        <v>85</v>
      </c>
      <c r="C78" s="41">
        <v>22.4</v>
      </c>
      <c r="D78" s="41">
        <v>140</v>
      </c>
      <c r="E78" s="41">
        <v>23.2</v>
      </c>
      <c r="F78" s="41">
        <v>138</v>
      </c>
    </row>
    <row r="79" spans="1:6" ht="15" x14ac:dyDescent="0.25">
      <c r="A79" s="41"/>
      <c r="B79" s="59" t="s">
        <v>102</v>
      </c>
      <c r="C79" s="41">
        <v>22.7</v>
      </c>
      <c r="D79" s="41">
        <v>141</v>
      </c>
      <c r="E79" s="41">
        <v>24.5</v>
      </c>
      <c r="F79" s="41">
        <v>140</v>
      </c>
    </row>
    <row r="80" spans="1:6" ht="15" x14ac:dyDescent="0.25">
      <c r="A80" s="41"/>
      <c r="B80" s="59" t="s">
        <v>103</v>
      </c>
      <c r="C80" s="41">
        <v>22</v>
      </c>
      <c r="D80" s="41">
        <v>147</v>
      </c>
      <c r="E80" s="41">
        <v>21.6</v>
      </c>
      <c r="F80" s="41">
        <v>148</v>
      </c>
    </row>
    <row r="81" spans="1:6" ht="15" x14ac:dyDescent="0.25">
      <c r="A81" s="41" t="s">
        <v>148</v>
      </c>
      <c r="B81" s="59" t="s">
        <v>85</v>
      </c>
      <c r="C81" s="41">
        <v>14.1</v>
      </c>
      <c r="D81" s="41">
        <v>130</v>
      </c>
      <c r="E81" s="41">
        <v>13.8</v>
      </c>
      <c r="F81" s="41">
        <v>128</v>
      </c>
    </row>
    <row r="82" spans="1:6" ht="15" x14ac:dyDescent="0.25">
      <c r="A82" s="41"/>
      <c r="B82" s="59" t="s">
        <v>102</v>
      </c>
      <c r="C82" s="41">
        <v>19.5</v>
      </c>
      <c r="D82" s="41">
        <v>132</v>
      </c>
      <c r="E82" s="41">
        <v>20.100000000000001</v>
      </c>
      <c r="F82" s="41">
        <v>130</v>
      </c>
    </row>
    <row r="83" spans="1:6" ht="15" x14ac:dyDescent="0.25">
      <c r="A83" s="41"/>
      <c r="B83" s="59" t="s">
        <v>103</v>
      </c>
      <c r="C83" s="41">
        <v>16.8</v>
      </c>
      <c r="D83" s="41">
        <v>130</v>
      </c>
      <c r="E83" s="41">
        <v>17.2</v>
      </c>
      <c r="F83" s="41">
        <v>128</v>
      </c>
    </row>
    <row r="84" spans="1:6" ht="15" x14ac:dyDescent="0.25">
      <c r="A84" s="41" t="s">
        <v>149</v>
      </c>
      <c r="B84" s="59" t="s">
        <v>85</v>
      </c>
      <c r="C84" s="41">
        <v>22.7</v>
      </c>
      <c r="D84" s="41">
        <v>150</v>
      </c>
      <c r="E84" s="41">
        <v>23.1</v>
      </c>
      <c r="F84" s="41">
        <v>148</v>
      </c>
    </row>
    <row r="85" spans="1:6" ht="15" x14ac:dyDescent="0.25">
      <c r="A85" s="41"/>
      <c r="B85" s="59" t="s">
        <v>102</v>
      </c>
      <c r="C85" s="41">
        <v>19.2</v>
      </c>
      <c r="D85" s="41">
        <v>146</v>
      </c>
      <c r="E85" s="41">
        <v>19.8</v>
      </c>
      <c r="F85" s="41">
        <v>146</v>
      </c>
    </row>
    <row r="86" spans="1:6" ht="15" x14ac:dyDescent="0.25">
      <c r="A86" s="41"/>
      <c r="B86" s="59" t="s">
        <v>103</v>
      </c>
      <c r="C86" s="41">
        <v>17.899999999999999</v>
      </c>
      <c r="D86" s="41">
        <v>148</v>
      </c>
      <c r="E86" s="41">
        <v>18.899999999999999</v>
      </c>
      <c r="F86" s="41">
        <v>146</v>
      </c>
    </row>
    <row r="87" spans="1:6" ht="15" x14ac:dyDescent="0.25">
      <c r="A87" s="41" t="s">
        <v>151</v>
      </c>
      <c r="B87" s="59" t="s">
        <v>85</v>
      </c>
      <c r="C87" s="41">
        <v>20.8</v>
      </c>
      <c r="D87" s="41">
        <v>144</v>
      </c>
      <c r="E87" s="41">
        <v>21.6</v>
      </c>
      <c r="F87" s="41">
        <v>146</v>
      </c>
    </row>
    <row r="88" spans="1:6" ht="15" x14ac:dyDescent="0.25">
      <c r="A88" s="41"/>
      <c r="B88" s="59" t="s">
        <v>102</v>
      </c>
      <c r="C88" s="41">
        <v>19.899999999999999</v>
      </c>
      <c r="D88" s="41">
        <v>138</v>
      </c>
      <c r="E88" s="41">
        <v>20.5</v>
      </c>
      <c r="F88" s="41">
        <v>142</v>
      </c>
    </row>
    <row r="89" spans="1:6" ht="15" x14ac:dyDescent="0.25">
      <c r="A89" s="41"/>
      <c r="B89" s="59" t="s">
        <v>103</v>
      </c>
      <c r="C89" s="41">
        <v>24.2</v>
      </c>
      <c r="D89" s="41">
        <v>142</v>
      </c>
      <c r="E89" s="41">
        <v>24.9</v>
      </c>
      <c r="F89" s="41">
        <v>144</v>
      </c>
    </row>
    <row r="90" spans="1:6" ht="15" x14ac:dyDescent="0.25">
      <c r="A90" s="41" t="s">
        <v>152</v>
      </c>
      <c r="B90" s="59" t="s">
        <v>85</v>
      </c>
      <c r="C90" s="41">
        <v>21.5</v>
      </c>
      <c r="D90" s="41">
        <v>146</v>
      </c>
      <c r="E90" s="41">
        <v>23.7</v>
      </c>
      <c r="F90" s="41">
        <v>143</v>
      </c>
    </row>
    <row r="91" spans="1:6" ht="15" x14ac:dyDescent="0.25">
      <c r="A91" s="41"/>
      <c r="B91" s="59" t="s">
        <v>102</v>
      </c>
      <c r="C91" s="41">
        <v>18</v>
      </c>
      <c r="D91" s="41">
        <v>142</v>
      </c>
      <c r="E91" s="41">
        <v>17.3</v>
      </c>
      <c r="F91" s="41">
        <v>140</v>
      </c>
    </row>
    <row r="92" spans="1:6" ht="15" x14ac:dyDescent="0.25">
      <c r="A92" s="41"/>
      <c r="B92" s="59" t="s">
        <v>103</v>
      </c>
      <c r="C92" s="41">
        <v>20.2</v>
      </c>
      <c r="D92" s="41">
        <v>148</v>
      </c>
      <c r="E92" s="41">
        <v>21.8</v>
      </c>
      <c r="F92" s="41">
        <v>142</v>
      </c>
    </row>
    <row r="93" spans="1:6" ht="15" x14ac:dyDescent="0.25">
      <c r="A93" s="41" t="s">
        <v>153</v>
      </c>
      <c r="B93" s="59" t="s">
        <v>85</v>
      </c>
      <c r="C93" s="41">
        <v>24.3</v>
      </c>
      <c r="D93" s="41">
        <v>150</v>
      </c>
      <c r="E93" s="41">
        <v>24.5</v>
      </c>
      <c r="F93" s="41">
        <v>148</v>
      </c>
    </row>
    <row r="94" spans="1:6" ht="15" x14ac:dyDescent="0.25">
      <c r="A94" s="41"/>
      <c r="B94" s="59" t="s">
        <v>102</v>
      </c>
      <c r="C94" s="41">
        <v>20.399999999999999</v>
      </c>
      <c r="D94" s="41">
        <v>145</v>
      </c>
      <c r="E94" s="41">
        <v>21.1</v>
      </c>
      <c r="F94" s="41">
        <v>149</v>
      </c>
    </row>
    <row r="95" spans="1:6" ht="15" x14ac:dyDescent="0.25">
      <c r="A95" s="41"/>
      <c r="B95" s="59" t="s">
        <v>103</v>
      </c>
      <c r="C95" s="41">
        <v>19.899999999999999</v>
      </c>
      <c r="D95" s="41">
        <v>142</v>
      </c>
      <c r="E95" s="41">
        <v>20.6</v>
      </c>
      <c r="F95" s="41">
        <v>146</v>
      </c>
    </row>
    <row r="96" spans="1:6" ht="15" x14ac:dyDescent="0.25">
      <c r="A96" s="41" t="s">
        <v>154</v>
      </c>
      <c r="B96" s="59" t="s">
        <v>85</v>
      </c>
      <c r="C96" s="41">
        <v>22.1</v>
      </c>
      <c r="D96" s="41">
        <v>142</v>
      </c>
      <c r="E96" s="41">
        <v>23.4</v>
      </c>
      <c r="F96" s="41">
        <v>146</v>
      </c>
    </row>
    <row r="97" spans="1:6" ht="15" x14ac:dyDescent="0.25">
      <c r="A97" s="41"/>
      <c r="B97" s="59" t="s">
        <v>102</v>
      </c>
      <c r="C97" s="41">
        <v>18.7</v>
      </c>
      <c r="D97" s="41">
        <v>138</v>
      </c>
      <c r="E97" s="41">
        <v>19.399999999999999</v>
      </c>
      <c r="F97" s="41">
        <v>140</v>
      </c>
    </row>
    <row r="98" spans="1:6" ht="15" x14ac:dyDescent="0.25">
      <c r="A98" s="41"/>
      <c r="B98" s="59" t="s">
        <v>103</v>
      </c>
      <c r="C98" s="41">
        <v>20.100000000000001</v>
      </c>
      <c r="D98" s="41">
        <v>144</v>
      </c>
      <c r="E98" s="41">
        <v>19.3</v>
      </c>
      <c r="F98" s="41">
        <v>140</v>
      </c>
    </row>
    <row r="99" spans="1:6" ht="15" x14ac:dyDescent="0.25">
      <c r="A99" s="41" t="s">
        <v>156</v>
      </c>
      <c r="B99" s="59" t="s">
        <v>85</v>
      </c>
      <c r="C99" s="41">
        <v>12.4</v>
      </c>
      <c r="D99" s="41">
        <v>140</v>
      </c>
      <c r="E99" s="41">
        <v>12.7</v>
      </c>
      <c r="F99" s="41">
        <v>135</v>
      </c>
    </row>
    <row r="100" spans="1:6" ht="15" x14ac:dyDescent="0.25">
      <c r="A100" s="41"/>
      <c r="B100" s="59" t="s">
        <v>102</v>
      </c>
      <c r="C100" s="41">
        <v>14.2</v>
      </c>
      <c r="D100" s="41">
        <v>136</v>
      </c>
      <c r="E100" s="41">
        <v>14.8</v>
      </c>
      <c r="F100" s="41">
        <v>135</v>
      </c>
    </row>
    <row r="101" spans="1:6" ht="15" x14ac:dyDescent="0.25">
      <c r="A101" s="41"/>
      <c r="B101" s="59" t="s">
        <v>103</v>
      </c>
      <c r="C101" s="41">
        <v>13.8</v>
      </c>
      <c r="D101" s="41">
        <v>134</v>
      </c>
      <c r="E101" s="41">
        <v>14.1</v>
      </c>
      <c r="F101" s="41">
        <v>132</v>
      </c>
    </row>
    <row r="102" spans="1:6" ht="15" x14ac:dyDescent="0.25">
      <c r="A102" s="41" t="s">
        <v>158</v>
      </c>
      <c r="B102" s="59" t="s">
        <v>85</v>
      </c>
      <c r="C102" s="41">
        <v>16.2</v>
      </c>
      <c r="D102" s="41">
        <v>139</v>
      </c>
      <c r="E102" s="41">
        <v>16.5</v>
      </c>
      <c r="F102" s="41">
        <v>138</v>
      </c>
    </row>
    <row r="103" spans="1:6" ht="15" x14ac:dyDescent="0.25">
      <c r="A103" s="41"/>
      <c r="B103" s="59" t="s">
        <v>102</v>
      </c>
      <c r="C103" s="41">
        <v>17.8</v>
      </c>
      <c r="D103" s="41">
        <v>142</v>
      </c>
      <c r="E103" s="41">
        <v>18.399999999999999</v>
      </c>
      <c r="F103" s="41">
        <v>140</v>
      </c>
    </row>
    <row r="104" spans="1:6" ht="15" x14ac:dyDescent="0.25">
      <c r="A104" s="41"/>
      <c r="B104" s="59" t="s">
        <v>103</v>
      </c>
      <c r="C104" s="41">
        <v>19.5</v>
      </c>
      <c r="D104" s="41">
        <v>146</v>
      </c>
      <c r="E104" s="41">
        <v>22.7</v>
      </c>
      <c r="F104" s="41">
        <v>140</v>
      </c>
    </row>
    <row r="105" spans="1:6" ht="15" x14ac:dyDescent="0.25">
      <c r="A105" s="41" t="s">
        <v>159</v>
      </c>
      <c r="B105" s="59" t="s">
        <v>85</v>
      </c>
      <c r="C105" s="41">
        <v>17.3</v>
      </c>
      <c r="D105" s="41">
        <v>144</v>
      </c>
      <c r="E105" s="41">
        <v>19</v>
      </c>
      <c r="F105" s="41">
        <v>142</v>
      </c>
    </row>
    <row r="106" spans="1:6" ht="15" x14ac:dyDescent="0.25">
      <c r="A106" s="41"/>
      <c r="B106" s="59" t="s">
        <v>102</v>
      </c>
      <c r="C106" s="41">
        <v>20.5</v>
      </c>
      <c r="D106" s="41">
        <v>148</v>
      </c>
      <c r="E106" s="41">
        <v>23.9</v>
      </c>
      <c r="F106" s="41">
        <v>148</v>
      </c>
    </row>
    <row r="107" spans="1:6" ht="15" x14ac:dyDescent="0.25">
      <c r="A107" s="41"/>
      <c r="B107" s="59" t="s">
        <v>103</v>
      </c>
      <c r="C107" s="41">
        <v>21.2</v>
      </c>
      <c r="D107" s="41">
        <v>146</v>
      </c>
      <c r="E107" s="41">
        <v>22.5</v>
      </c>
      <c r="F107" s="41">
        <v>146</v>
      </c>
    </row>
    <row r="108" spans="1:6" ht="15" x14ac:dyDescent="0.25">
      <c r="A108" s="41" t="s">
        <v>160</v>
      </c>
      <c r="B108" s="59" t="s">
        <v>85</v>
      </c>
      <c r="C108" s="41">
        <v>22.6</v>
      </c>
      <c r="D108" s="41">
        <v>142</v>
      </c>
      <c r="E108" s="41">
        <v>23.8</v>
      </c>
      <c r="F108" s="41">
        <v>146</v>
      </c>
    </row>
    <row r="109" spans="1:6" ht="15" x14ac:dyDescent="0.25">
      <c r="A109" s="41"/>
      <c r="B109" s="59" t="s">
        <v>102</v>
      </c>
      <c r="C109" s="41">
        <v>16.600000000000001</v>
      </c>
      <c r="D109" s="41">
        <v>140</v>
      </c>
      <c r="E109" s="41">
        <v>17.2</v>
      </c>
      <c r="F109" s="41">
        <v>142</v>
      </c>
    </row>
    <row r="110" spans="1:6" ht="15" x14ac:dyDescent="0.25">
      <c r="A110" s="41"/>
      <c r="B110" s="59" t="s">
        <v>103</v>
      </c>
      <c r="C110" s="41">
        <v>18.399999999999999</v>
      </c>
      <c r="D110" s="41">
        <v>138</v>
      </c>
      <c r="E110" s="41" t="s">
        <v>161</v>
      </c>
      <c r="F110" s="41">
        <v>144</v>
      </c>
    </row>
    <row r="111" spans="1:6" ht="15" x14ac:dyDescent="0.25">
      <c r="A111" s="41" t="s">
        <v>162</v>
      </c>
      <c r="B111" s="59" t="s">
        <v>85</v>
      </c>
      <c r="C111" s="41">
        <v>15.4</v>
      </c>
      <c r="D111" s="41">
        <v>138</v>
      </c>
      <c r="E111" s="41">
        <v>15.6</v>
      </c>
      <c r="F111" s="41">
        <v>135</v>
      </c>
    </row>
    <row r="112" spans="1:6" ht="15" x14ac:dyDescent="0.25">
      <c r="A112" s="41"/>
      <c r="B112" s="59" t="s">
        <v>102</v>
      </c>
      <c r="C112" s="41">
        <v>22.1</v>
      </c>
      <c r="D112" s="41">
        <v>151</v>
      </c>
      <c r="E112" s="41">
        <v>23.9</v>
      </c>
      <c r="F112" s="41">
        <v>150</v>
      </c>
    </row>
    <row r="113" spans="1:6" ht="15" x14ac:dyDescent="0.25">
      <c r="A113" s="41"/>
      <c r="B113" s="59" t="s">
        <v>103</v>
      </c>
      <c r="C113" s="41">
        <v>19</v>
      </c>
      <c r="D113" s="41">
        <v>140</v>
      </c>
      <c r="E113" s="41">
        <v>19.600000000000001</v>
      </c>
      <c r="F113" s="41">
        <v>136</v>
      </c>
    </row>
    <row r="114" spans="1:6" ht="15" x14ac:dyDescent="0.25">
      <c r="A114" s="41" t="s">
        <v>163</v>
      </c>
      <c r="B114" s="59" t="s">
        <v>85</v>
      </c>
      <c r="C114" s="41">
        <v>19.3</v>
      </c>
      <c r="D114" s="41">
        <v>138</v>
      </c>
      <c r="E114" s="41">
        <v>21</v>
      </c>
      <c r="F114" s="41">
        <v>142</v>
      </c>
    </row>
    <row r="115" spans="1:6" ht="15" x14ac:dyDescent="0.25">
      <c r="A115" s="41"/>
      <c r="B115" s="59" t="s">
        <v>102</v>
      </c>
      <c r="C115" s="41">
        <v>21.2</v>
      </c>
      <c r="D115" s="41">
        <v>142</v>
      </c>
      <c r="E115" s="41">
        <v>21.6</v>
      </c>
      <c r="F115" s="41">
        <v>143</v>
      </c>
    </row>
    <row r="116" spans="1:6" ht="15" x14ac:dyDescent="0.25">
      <c r="A116" s="41"/>
      <c r="B116" s="59" t="s">
        <v>103</v>
      </c>
      <c r="C116" s="41">
        <v>20.9</v>
      </c>
      <c r="D116" s="41">
        <v>142</v>
      </c>
      <c r="E116" s="41">
        <v>22</v>
      </c>
      <c r="F116" s="41">
        <v>146</v>
      </c>
    </row>
    <row r="117" spans="1:6" ht="15" x14ac:dyDescent="0.25">
      <c r="A117" s="41" t="s">
        <v>164</v>
      </c>
      <c r="B117" s="59" t="s">
        <v>85</v>
      </c>
      <c r="C117" s="41">
        <v>19.100000000000001</v>
      </c>
      <c r="D117" s="41">
        <v>140</v>
      </c>
      <c r="E117" s="41">
        <v>19.600000000000001</v>
      </c>
      <c r="F117" s="41">
        <v>138</v>
      </c>
    </row>
    <row r="118" spans="1:6" ht="15" x14ac:dyDescent="0.25">
      <c r="A118" s="41"/>
      <c r="B118" s="59" t="s">
        <v>102</v>
      </c>
      <c r="C118" s="41">
        <v>21.1</v>
      </c>
      <c r="D118" s="41">
        <v>152</v>
      </c>
      <c r="E118" s="41">
        <v>21.7</v>
      </c>
      <c r="F118" s="41">
        <v>150</v>
      </c>
    </row>
    <row r="119" spans="1:6" ht="15" x14ac:dyDescent="0.25">
      <c r="A119" s="41"/>
      <c r="B119" s="59" t="s">
        <v>103</v>
      </c>
      <c r="C119" s="41">
        <v>19.2</v>
      </c>
      <c r="D119" s="41">
        <v>150</v>
      </c>
      <c r="E119" s="41">
        <v>20.5</v>
      </c>
      <c r="F119" s="41">
        <v>148</v>
      </c>
    </row>
    <row r="120" spans="1:6" ht="15" x14ac:dyDescent="0.25">
      <c r="A120" s="41" t="s">
        <v>166</v>
      </c>
      <c r="B120" s="59" t="s">
        <v>85</v>
      </c>
      <c r="C120" s="41">
        <v>19.600000000000001</v>
      </c>
      <c r="D120" s="41">
        <v>150</v>
      </c>
      <c r="E120" s="41">
        <v>21.2</v>
      </c>
      <c r="F120" s="41">
        <v>151</v>
      </c>
    </row>
    <row r="121" spans="1:6" ht="15" x14ac:dyDescent="0.25">
      <c r="A121" s="41"/>
      <c r="B121" s="59" t="s">
        <v>102</v>
      </c>
      <c r="C121" s="41">
        <v>25.6</v>
      </c>
      <c r="D121" s="41">
        <v>156</v>
      </c>
      <c r="E121" s="41">
        <v>25.1</v>
      </c>
      <c r="F121" s="41">
        <v>158</v>
      </c>
    </row>
    <row r="122" spans="1:6" ht="15" x14ac:dyDescent="0.25">
      <c r="A122" s="41"/>
      <c r="B122" s="59" t="s">
        <v>103</v>
      </c>
      <c r="C122" s="41">
        <v>23.2</v>
      </c>
      <c r="D122" s="41">
        <v>152</v>
      </c>
      <c r="E122" s="41">
        <v>22.4</v>
      </c>
      <c r="F122" s="41">
        <v>154</v>
      </c>
    </row>
    <row r="123" spans="1:6" ht="15" x14ac:dyDescent="0.25">
      <c r="A123" s="41" t="s">
        <v>167</v>
      </c>
      <c r="B123" s="59" t="s">
        <v>85</v>
      </c>
      <c r="C123" s="41">
        <v>19.399999999999999</v>
      </c>
      <c r="D123" s="41">
        <v>140</v>
      </c>
      <c r="E123" s="41">
        <v>20.5</v>
      </c>
      <c r="F123" s="41">
        <v>140</v>
      </c>
    </row>
    <row r="124" spans="1:6" ht="15" x14ac:dyDescent="0.25">
      <c r="A124" s="41"/>
      <c r="B124" s="59" t="s">
        <v>102</v>
      </c>
      <c r="C124" s="41">
        <v>14.9</v>
      </c>
      <c r="D124" s="41">
        <v>136</v>
      </c>
      <c r="E124" s="41">
        <v>15</v>
      </c>
      <c r="F124" s="41">
        <v>138</v>
      </c>
    </row>
    <row r="125" spans="1:6" ht="15" x14ac:dyDescent="0.25">
      <c r="A125" s="41"/>
      <c r="B125" s="59" t="s">
        <v>103</v>
      </c>
      <c r="C125" s="41">
        <v>19</v>
      </c>
      <c r="D125" s="41">
        <v>151</v>
      </c>
      <c r="E125" s="41">
        <v>19.8</v>
      </c>
      <c r="F125" s="41">
        <v>145</v>
      </c>
    </row>
    <row r="126" spans="1:6" ht="15" x14ac:dyDescent="0.25">
      <c r="A126" s="41" t="s">
        <v>168</v>
      </c>
      <c r="B126" s="59" t="s">
        <v>85</v>
      </c>
      <c r="C126" s="41">
        <v>22.3</v>
      </c>
      <c r="D126" s="41">
        <v>148</v>
      </c>
      <c r="E126" s="41">
        <v>26.3</v>
      </c>
      <c r="F126" s="41">
        <v>150</v>
      </c>
    </row>
    <row r="127" spans="1:6" ht="15" x14ac:dyDescent="0.25">
      <c r="A127" s="41"/>
      <c r="B127" s="59" t="s">
        <v>102</v>
      </c>
      <c r="C127" s="41">
        <v>23.9</v>
      </c>
      <c r="D127" s="41">
        <v>142</v>
      </c>
      <c r="E127" s="41">
        <v>24.3</v>
      </c>
      <c r="F127" s="41">
        <v>146</v>
      </c>
    </row>
    <row r="128" spans="1:6" ht="15" x14ac:dyDescent="0.25">
      <c r="A128" s="41"/>
      <c r="B128" s="59" t="s">
        <v>103</v>
      </c>
      <c r="C128" s="41">
        <v>24.3</v>
      </c>
      <c r="D128" s="41">
        <v>144</v>
      </c>
      <c r="E128" s="41">
        <v>25.9</v>
      </c>
      <c r="F128" s="41">
        <v>148</v>
      </c>
    </row>
    <row r="129" spans="1:6" ht="15" x14ac:dyDescent="0.25">
      <c r="A129" s="41" t="s">
        <v>169</v>
      </c>
      <c r="B129" s="59" t="s">
        <v>85</v>
      </c>
      <c r="C129" s="41">
        <v>20.3</v>
      </c>
      <c r="D129" s="41">
        <v>140</v>
      </c>
      <c r="E129" s="41">
        <v>24.7</v>
      </c>
      <c r="F129" s="41">
        <v>144</v>
      </c>
    </row>
    <row r="130" spans="1:6" ht="15" x14ac:dyDescent="0.25">
      <c r="A130" s="41"/>
      <c r="B130" s="59" t="s">
        <v>102</v>
      </c>
      <c r="C130" s="41">
        <v>23.2</v>
      </c>
      <c r="D130" s="41">
        <v>140</v>
      </c>
      <c r="E130" s="41">
        <v>23.8</v>
      </c>
      <c r="F130" s="41">
        <v>142</v>
      </c>
    </row>
    <row r="131" spans="1:6" ht="15" x14ac:dyDescent="0.25">
      <c r="A131" s="41"/>
      <c r="B131" s="59" t="s">
        <v>103</v>
      </c>
      <c r="C131" s="41">
        <v>22.7</v>
      </c>
      <c r="D131" s="41">
        <v>142</v>
      </c>
      <c r="E131" s="41">
        <v>23.9</v>
      </c>
      <c r="F131" s="41">
        <v>142</v>
      </c>
    </row>
    <row r="132" spans="1:6" ht="15" x14ac:dyDescent="0.25">
      <c r="A132" s="41" t="s">
        <v>170</v>
      </c>
      <c r="B132" s="59" t="s">
        <v>85</v>
      </c>
      <c r="C132" s="41">
        <v>23.3</v>
      </c>
      <c r="D132" s="41">
        <v>156</v>
      </c>
      <c r="E132" s="41">
        <v>24.8</v>
      </c>
      <c r="F132" s="41">
        <v>155</v>
      </c>
    </row>
    <row r="133" spans="1:6" ht="15" x14ac:dyDescent="0.25">
      <c r="A133" s="41"/>
      <c r="B133" s="59" t="s">
        <v>102</v>
      </c>
      <c r="C133" s="41">
        <v>10.7</v>
      </c>
      <c r="D133" s="41">
        <v>138</v>
      </c>
      <c r="E133" s="41">
        <v>10.5</v>
      </c>
      <c r="F133" s="41">
        <v>140</v>
      </c>
    </row>
    <row r="134" spans="1:6" ht="15" x14ac:dyDescent="0.25">
      <c r="A134" s="41"/>
      <c r="B134" s="59" t="s">
        <v>103</v>
      </c>
      <c r="C134" s="41">
        <v>23.4</v>
      </c>
      <c r="D134" s="41">
        <v>146</v>
      </c>
      <c r="E134" s="41">
        <v>24.8</v>
      </c>
      <c r="F134" s="41">
        <v>148</v>
      </c>
    </row>
    <row r="135" spans="1:6" ht="15" x14ac:dyDescent="0.25">
      <c r="A135" s="41" t="s">
        <v>171</v>
      </c>
      <c r="B135" s="59" t="s">
        <v>85</v>
      </c>
      <c r="C135" s="41">
        <v>22.9</v>
      </c>
      <c r="D135" s="41">
        <v>155</v>
      </c>
      <c r="E135" s="41">
        <v>23.4</v>
      </c>
      <c r="F135" s="41">
        <v>152</v>
      </c>
    </row>
    <row r="136" spans="1:6" ht="15" x14ac:dyDescent="0.25">
      <c r="A136" s="41"/>
      <c r="B136" s="59" t="s">
        <v>102</v>
      </c>
      <c r="C136" s="41">
        <v>16.2</v>
      </c>
      <c r="D136" s="41">
        <v>138</v>
      </c>
      <c r="E136" s="41">
        <v>17.899999999999999</v>
      </c>
      <c r="F136" s="41">
        <v>140</v>
      </c>
    </row>
    <row r="137" spans="1:6" ht="15" x14ac:dyDescent="0.25">
      <c r="A137" s="41"/>
      <c r="B137" s="59" t="s">
        <v>103</v>
      </c>
      <c r="C137" s="41" t="s">
        <v>100</v>
      </c>
      <c r="D137" s="41" t="s">
        <v>100</v>
      </c>
      <c r="E137" s="41" t="s">
        <v>100</v>
      </c>
      <c r="F137" s="41"/>
    </row>
    <row r="138" spans="1:6" ht="15" x14ac:dyDescent="0.25">
      <c r="A138" s="41" t="s">
        <v>173</v>
      </c>
      <c r="B138" s="59" t="s">
        <v>85</v>
      </c>
      <c r="C138" s="41">
        <v>20.6</v>
      </c>
      <c r="D138" s="41">
        <v>142</v>
      </c>
      <c r="E138" s="41">
        <v>22.3</v>
      </c>
      <c r="F138" s="41">
        <v>145</v>
      </c>
    </row>
    <row r="139" spans="1:6" ht="15" x14ac:dyDescent="0.25">
      <c r="A139" s="41"/>
      <c r="B139" s="59" t="s">
        <v>102</v>
      </c>
      <c r="C139" s="41">
        <v>22.4</v>
      </c>
      <c r="D139" s="41">
        <v>148</v>
      </c>
      <c r="E139" s="41">
        <v>23</v>
      </c>
      <c r="F139" s="41">
        <v>145</v>
      </c>
    </row>
    <row r="140" spans="1:6" ht="15" x14ac:dyDescent="0.25">
      <c r="A140" s="41"/>
      <c r="B140" s="59" t="s">
        <v>103</v>
      </c>
      <c r="C140" s="41">
        <v>20.2</v>
      </c>
      <c r="D140" s="41">
        <v>142</v>
      </c>
      <c r="E140" s="41">
        <v>21.6</v>
      </c>
      <c r="F140" s="41">
        <v>144</v>
      </c>
    </row>
    <row r="141" spans="1:6" ht="15" x14ac:dyDescent="0.25">
      <c r="A141" s="41" t="s">
        <v>174</v>
      </c>
      <c r="B141" s="59" t="s">
        <v>85</v>
      </c>
      <c r="C141" s="41">
        <v>18.5</v>
      </c>
      <c r="D141" s="41">
        <v>140</v>
      </c>
      <c r="E141" s="41">
        <v>20.6</v>
      </c>
      <c r="F141" s="41">
        <v>138</v>
      </c>
    </row>
    <row r="142" spans="1:6" ht="15" x14ac:dyDescent="0.25">
      <c r="A142" s="41"/>
      <c r="B142" s="59" t="s">
        <v>102</v>
      </c>
      <c r="C142" s="41">
        <v>18.600000000000001</v>
      </c>
      <c r="D142" s="41">
        <v>140</v>
      </c>
      <c r="E142" s="41">
        <v>20.5</v>
      </c>
      <c r="F142" s="41">
        <v>142</v>
      </c>
    </row>
    <row r="143" spans="1:6" ht="15" x14ac:dyDescent="0.25">
      <c r="A143" s="41"/>
      <c r="B143" s="59" t="s">
        <v>103</v>
      </c>
      <c r="C143" s="41">
        <v>19.600000000000001</v>
      </c>
      <c r="D143" s="41">
        <v>144</v>
      </c>
      <c r="E143" s="41">
        <v>20.3</v>
      </c>
      <c r="F143" s="41">
        <v>146</v>
      </c>
    </row>
    <row r="144" spans="1:6" ht="15" x14ac:dyDescent="0.25">
      <c r="A144" s="41" t="s">
        <v>175</v>
      </c>
      <c r="B144" s="59" t="s">
        <v>85</v>
      </c>
      <c r="C144" s="41">
        <v>19.899999999999999</v>
      </c>
      <c r="D144" s="41">
        <v>150</v>
      </c>
      <c r="E144" s="41">
        <v>21.2</v>
      </c>
      <c r="F144" s="41">
        <v>150</v>
      </c>
    </row>
    <row r="145" spans="1:6" ht="15" x14ac:dyDescent="0.25">
      <c r="A145" s="41"/>
      <c r="B145" s="59" t="s">
        <v>102</v>
      </c>
      <c r="C145" s="41">
        <v>15.1</v>
      </c>
      <c r="D145" s="41">
        <v>138</v>
      </c>
      <c r="E145" s="41">
        <v>15.5</v>
      </c>
      <c r="F145" s="41">
        <v>135</v>
      </c>
    </row>
    <row r="146" spans="1:6" ht="15" x14ac:dyDescent="0.25">
      <c r="A146" s="41"/>
      <c r="B146" s="59" t="s">
        <v>103</v>
      </c>
      <c r="C146" s="41">
        <v>19.100000000000001</v>
      </c>
      <c r="D146" s="41">
        <v>140</v>
      </c>
      <c r="E146" s="41">
        <v>19.600000000000001</v>
      </c>
      <c r="F146" s="41">
        <v>144</v>
      </c>
    </row>
    <row r="147" spans="1:6" ht="15" x14ac:dyDescent="0.25">
      <c r="A147" s="41" t="s">
        <v>176</v>
      </c>
      <c r="B147" s="59" t="s">
        <v>85</v>
      </c>
      <c r="C147" s="41">
        <v>17.5</v>
      </c>
      <c r="D147" s="41">
        <v>146</v>
      </c>
      <c r="E147" s="41">
        <v>18.399999999999999</v>
      </c>
      <c r="F147" s="41">
        <v>148</v>
      </c>
    </row>
    <row r="148" spans="1:6" ht="15" x14ac:dyDescent="0.25">
      <c r="A148" s="41"/>
      <c r="B148" s="59" t="s">
        <v>102</v>
      </c>
      <c r="C148" s="41">
        <v>20.5</v>
      </c>
      <c r="D148" s="41">
        <v>150</v>
      </c>
      <c r="E148" s="41">
        <v>19.7</v>
      </c>
      <c r="F148" s="41">
        <v>145</v>
      </c>
    </row>
    <row r="149" spans="1:6" ht="15" x14ac:dyDescent="0.25">
      <c r="A149" s="41"/>
      <c r="B149" s="59" t="s">
        <v>103</v>
      </c>
      <c r="C149" s="41">
        <v>18.600000000000001</v>
      </c>
      <c r="D149" s="41">
        <v>152</v>
      </c>
      <c r="E149" s="41">
        <v>19.100000000000001</v>
      </c>
      <c r="F149" s="41">
        <v>145</v>
      </c>
    </row>
    <row r="150" spans="1:6" ht="15" x14ac:dyDescent="0.25">
      <c r="A150" s="41" t="s">
        <v>177</v>
      </c>
      <c r="B150" s="59" t="s">
        <v>85</v>
      </c>
      <c r="C150" s="41">
        <v>20.8</v>
      </c>
      <c r="D150" s="41">
        <v>146</v>
      </c>
      <c r="E150" s="41">
        <v>21.4</v>
      </c>
      <c r="F150" s="41">
        <v>148</v>
      </c>
    </row>
    <row r="151" spans="1:6" ht="15" x14ac:dyDescent="0.25">
      <c r="A151" s="41"/>
      <c r="B151" s="59" t="s">
        <v>102</v>
      </c>
      <c r="C151" s="41">
        <v>24.3</v>
      </c>
      <c r="D151" s="41">
        <v>144</v>
      </c>
      <c r="E151" s="41">
        <v>25</v>
      </c>
      <c r="F151" s="41">
        <v>146</v>
      </c>
    </row>
    <row r="152" spans="1:6" ht="15" x14ac:dyDescent="0.25">
      <c r="A152" s="41"/>
      <c r="B152" s="59" t="s">
        <v>103</v>
      </c>
      <c r="C152" s="41">
        <v>23.2</v>
      </c>
      <c r="D152" s="41">
        <v>148</v>
      </c>
      <c r="E152" s="41">
        <v>22.1</v>
      </c>
      <c r="F152" s="41">
        <v>146</v>
      </c>
    </row>
    <row r="153" spans="1:6" ht="15" x14ac:dyDescent="0.25">
      <c r="A153" s="41" t="s">
        <v>178</v>
      </c>
      <c r="B153" s="59" t="s">
        <v>85</v>
      </c>
      <c r="C153" s="41">
        <v>14.7</v>
      </c>
      <c r="D153" s="41">
        <v>136</v>
      </c>
      <c r="E153" s="41">
        <v>16.5</v>
      </c>
      <c r="F153" s="41">
        <v>135</v>
      </c>
    </row>
    <row r="154" spans="1:6" ht="15" x14ac:dyDescent="0.25">
      <c r="A154" s="41"/>
      <c r="B154" s="59" t="s">
        <v>102</v>
      </c>
      <c r="C154" s="41">
        <v>18.600000000000001</v>
      </c>
      <c r="D154" s="41">
        <v>138</v>
      </c>
      <c r="E154" s="41">
        <v>19.5</v>
      </c>
      <c r="F154" s="41">
        <v>140</v>
      </c>
    </row>
    <row r="155" spans="1:6" ht="15" x14ac:dyDescent="0.25">
      <c r="A155" s="41"/>
      <c r="B155" s="59" t="s">
        <v>103</v>
      </c>
      <c r="C155" s="41">
        <v>18.5</v>
      </c>
      <c r="D155" s="41">
        <v>140</v>
      </c>
      <c r="E155" s="41">
        <v>19.899999999999999</v>
      </c>
      <c r="F155" s="41">
        <v>142</v>
      </c>
    </row>
    <row r="156" spans="1:6" ht="15" x14ac:dyDescent="0.25">
      <c r="A156" s="41" t="s">
        <v>180</v>
      </c>
      <c r="B156" s="59" t="s">
        <v>85</v>
      </c>
      <c r="C156" s="41">
        <v>15.4</v>
      </c>
      <c r="D156" s="41">
        <v>140</v>
      </c>
      <c r="E156" s="41">
        <v>21.1</v>
      </c>
      <c r="F156" s="41">
        <v>135</v>
      </c>
    </row>
    <row r="157" spans="1:6" ht="15" x14ac:dyDescent="0.25">
      <c r="A157" s="41"/>
      <c r="B157" s="59" t="s">
        <v>102</v>
      </c>
      <c r="C157" s="41">
        <v>16.899999999999999</v>
      </c>
      <c r="D157" s="41">
        <v>138</v>
      </c>
      <c r="E157" s="41">
        <v>18.399999999999999</v>
      </c>
      <c r="F157" s="41">
        <v>136</v>
      </c>
    </row>
    <row r="158" spans="1:6" ht="15" x14ac:dyDescent="0.25">
      <c r="A158" s="41"/>
      <c r="B158" s="59" t="s">
        <v>103</v>
      </c>
      <c r="C158" s="41">
        <v>17.5</v>
      </c>
      <c r="D158" s="41">
        <v>140</v>
      </c>
      <c r="E158" s="41">
        <v>18.5</v>
      </c>
      <c r="F158" s="41">
        <v>138</v>
      </c>
    </row>
    <row r="159" spans="1:6" ht="15" x14ac:dyDescent="0.25">
      <c r="A159" s="41" t="s">
        <v>181</v>
      </c>
      <c r="B159" s="59" t="s">
        <v>85</v>
      </c>
      <c r="C159" s="41">
        <v>18</v>
      </c>
      <c r="D159" s="41">
        <v>140</v>
      </c>
      <c r="E159" s="41">
        <v>21.2</v>
      </c>
      <c r="F159" s="41">
        <v>142</v>
      </c>
    </row>
    <row r="160" spans="1:6" ht="15" x14ac:dyDescent="0.25">
      <c r="A160" s="41"/>
      <c r="B160" s="59" t="s">
        <v>102</v>
      </c>
      <c r="C160" s="41">
        <v>23.4</v>
      </c>
      <c r="D160" s="41">
        <v>148</v>
      </c>
      <c r="E160" s="41">
        <v>24.9</v>
      </c>
      <c r="F160" s="41">
        <v>150</v>
      </c>
    </row>
    <row r="161" spans="1:6" ht="15" x14ac:dyDescent="0.25">
      <c r="A161" s="41"/>
      <c r="B161" s="59" t="s">
        <v>103</v>
      </c>
      <c r="C161" s="41">
        <v>22.9</v>
      </c>
      <c r="D161" s="41">
        <v>144</v>
      </c>
      <c r="E161" s="41">
        <v>23.1</v>
      </c>
      <c r="F161" s="41">
        <v>148</v>
      </c>
    </row>
    <row r="162" spans="1:6" ht="15" x14ac:dyDescent="0.25">
      <c r="A162" s="41" t="s">
        <v>182</v>
      </c>
      <c r="B162" s="59" t="s">
        <v>85</v>
      </c>
      <c r="C162" s="41">
        <v>19.3</v>
      </c>
      <c r="D162" s="41">
        <v>144</v>
      </c>
      <c r="E162" s="41">
        <v>21.2</v>
      </c>
      <c r="F162" s="41">
        <v>142</v>
      </c>
    </row>
    <row r="163" spans="1:6" ht="15" x14ac:dyDescent="0.25">
      <c r="A163" s="41"/>
      <c r="B163" s="59" t="s">
        <v>102</v>
      </c>
      <c r="C163" s="41">
        <v>18.5</v>
      </c>
      <c r="D163" s="41">
        <v>140</v>
      </c>
      <c r="E163" s="41">
        <v>19.8</v>
      </c>
      <c r="F163" s="41">
        <v>142</v>
      </c>
    </row>
    <row r="164" spans="1:6" ht="15" x14ac:dyDescent="0.25">
      <c r="A164" s="41"/>
      <c r="B164" s="59" t="s">
        <v>103</v>
      </c>
      <c r="C164" s="41">
        <v>21</v>
      </c>
      <c r="D164" s="41">
        <v>144</v>
      </c>
      <c r="E164" s="41">
        <v>22.1</v>
      </c>
      <c r="F164" s="41">
        <v>142</v>
      </c>
    </row>
    <row r="165" spans="1:6" ht="15" x14ac:dyDescent="0.25">
      <c r="A165" s="41" t="s">
        <v>183</v>
      </c>
      <c r="B165" s="59" t="s">
        <v>85</v>
      </c>
      <c r="C165" s="41">
        <v>18.899999999999999</v>
      </c>
      <c r="D165" s="41">
        <v>144</v>
      </c>
      <c r="E165" s="41">
        <v>20</v>
      </c>
      <c r="F165" s="41">
        <v>140</v>
      </c>
    </row>
    <row r="166" spans="1:6" ht="15" x14ac:dyDescent="0.25">
      <c r="A166" s="41"/>
      <c r="B166" s="59" t="s">
        <v>102</v>
      </c>
      <c r="C166" s="41">
        <v>22.8</v>
      </c>
      <c r="D166" s="41">
        <v>148</v>
      </c>
      <c r="E166" s="41">
        <v>23.4</v>
      </c>
      <c r="F166" s="41">
        <v>150</v>
      </c>
    </row>
    <row r="167" spans="1:6" ht="15" x14ac:dyDescent="0.25">
      <c r="A167" s="41"/>
      <c r="B167" s="59" t="s">
        <v>103</v>
      </c>
      <c r="C167" s="41">
        <v>22.3</v>
      </c>
      <c r="D167" s="41">
        <v>142</v>
      </c>
      <c r="E167" s="41">
        <v>23.2</v>
      </c>
      <c r="F167" s="41">
        <v>148</v>
      </c>
    </row>
    <row r="168" spans="1:6" ht="15" x14ac:dyDescent="0.25">
      <c r="A168" s="41" t="s">
        <v>184</v>
      </c>
      <c r="B168" s="59" t="s">
        <v>85</v>
      </c>
      <c r="C168" s="41">
        <v>16.2</v>
      </c>
      <c r="D168" s="41">
        <v>142</v>
      </c>
      <c r="E168" s="41">
        <v>16.899999999999999</v>
      </c>
      <c r="F168" s="41">
        <v>139</v>
      </c>
    </row>
    <row r="169" spans="1:6" ht="15" x14ac:dyDescent="0.25">
      <c r="A169" s="41"/>
      <c r="B169" s="59" t="s">
        <v>102</v>
      </c>
      <c r="C169" s="41">
        <v>23.8</v>
      </c>
      <c r="D169" s="41">
        <v>138</v>
      </c>
      <c r="E169" s="41">
        <v>25.5</v>
      </c>
      <c r="F169" s="41">
        <v>140</v>
      </c>
    </row>
    <row r="170" spans="1:6" ht="15" x14ac:dyDescent="0.25">
      <c r="A170" s="41"/>
      <c r="B170" s="59" t="s">
        <v>103</v>
      </c>
      <c r="C170" s="41">
        <v>19</v>
      </c>
      <c r="D170" s="41">
        <v>140</v>
      </c>
      <c r="E170" s="41">
        <v>20.5</v>
      </c>
      <c r="F170" s="41">
        <v>142</v>
      </c>
    </row>
    <row r="171" spans="1:6" ht="15" x14ac:dyDescent="0.25">
      <c r="A171" s="41" t="s">
        <v>187</v>
      </c>
      <c r="B171" s="59" t="s">
        <v>85</v>
      </c>
      <c r="C171" s="41">
        <v>23.9</v>
      </c>
      <c r="D171" s="41">
        <v>144</v>
      </c>
      <c r="E171" s="41">
        <v>25.2</v>
      </c>
      <c r="F171" s="41">
        <v>148</v>
      </c>
    </row>
    <row r="172" spans="1:6" ht="15" x14ac:dyDescent="0.25">
      <c r="A172" s="41"/>
      <c r="B172" s="59" t="s">
        <v>102</v>
      </c>
      <c r="C172" s="41">
        <v>18.7</v>
      </c>
      <c r="D172" s="41">
        <v>142</v>
      </c>
      <c r="E172" s="41">
        <v>16.399999999999999</v>
      </c>
      <c r="F172" s="41">
        <v>146</v>
      </c>
    </row>
    <row r="173" spans="1:6" ht="15" x14ac:dyDescent="0.25">
      <c r="A173" s="41"/>
      <c r="B173" s="59" t="s">
        <v>103</v>
      </c>
      <c r="C173" s="41">
        <v>17.2</v>
      </c>
      <c r="D173" s="41">
        <v>144</v>
      </c>
      <c r="E173" s="41">
        <v>17.7</v>
      </c>
      <c r="F173" s="41">
        <v>146</v>
      </c>
    </row>
    <row r="174" spans="1:6" ht="15" x14ac:dyDescent="0.25">
      <c r="A174" s="41" t="s">
        <v>188</v>
      </c>
      <c r="B174" s="59" t="s">
        <v>85</v>
      </c>
      <c r="C174" s="41">
        <v>21</v>
      </c>
      <c r="D174" s="41">
        <v>148</v>
      </c>
      <c r="E174" s="41">
        <v>21.2</v>
      </c>
      <c r="F174" s="41">
        <v>145</v>
      </c>
    </row>
    <row r="175" spans="1:6" ht="15" x14ac:dyDescent="0.25">
      <c r="A175" s="41"/>
      <c r="B175" s="59" t="s">
        <v>102</v>
      </c>
      <c r="C175" s="41">
        <v>20</v>
      </c>
      <c r="D175" s="41">
        <v>142</v>
      </c>
      <c r="E175" s="41">
        <v>22.4</v>
      </c>
      <c r="F175" s="41">
        <v>145</v>
      </c>
    </row>
    <row r="176" spans="1:6" ht="15" x14ac:dyDescent="0.25">
      <c r="A176" s="41"/>
      <c r="B176" s="59" t="s">
        <v>103</v>
      </c>
      <c r="C176" s="41">
        <v>30.6</v>
      </c>
      <c r="D176" s="41">
        <v>148</v>
      </c>
      <c r="E176" s="41">
        <v>32.700000000000003</v>
      </c>
      <c r="F176" s="41">
        <v>150</v>
      </c>
    </row>
    <row r="177" spans="1:6" ht="15" x14ac:dyDescent="0.25">
      <c r="A177" s="41" t="s">
        <v>189</v>
      </c>
      <c r="B177" s="59" t="s">
        <v>85</v>
      </c>
      <c r="C177" s="41">
        <v>29.5</v>
      </c>
      <c r="D177" s="41">
        <v>146</v>
      </c>
      <c r="E177" s="41">
        <v>26.6</v>
      </c>
      <c r="F177" s="41">
        <v>148</v>
      </c>
    </row>
    <row r="178" spans="1:6" ht="15" x14ac:dyDescent="0.25">
      <c r="A178" s="41"/>
      <c r="B178" s="59" t="s">
        <v>102</v>
      </c>
      <c r="C178" s="41">
        <v>14.8</v>
      </c>
      <c r="D178" s="41">
        <v>142</v>
      </c>
      <c r="E178" s="41">
        <v>17.399999999999999</v>
      </c>
      <c r="F178" s="41">
        <v>146</v>
      </c>
    </row>
    <row r="179" spans="1:6" ht="15" x14ac:dyDescent="0.25">
      <c r="A179" s="41"/>
      <c r="B179" s="59" t="s">
        <v>103</v>
      </c>
      <c r="C179" s="41">
        <v>16.2</v>
      </c>
      <c r="D179" s="41">
        <v>144</v>
      </c>
      <c r="E179" s="41">
        <v>17.100000000000001</v>
      </c>
      <c r="F179" s="41">
        <v>148</v>
      </c>
    </row>
    <row r="180" spans="1:6" ht="15" x14ac:dyDescent="0.25">
      <c r="A180" s="41" t="s">
        <v>190</v>
      </c>
      <c r="B180" s="59" t="s">
        <v>85</v>
      </c>
      <c r="C180" s="41">
        <v>16.5</v>
      </c>
      <c r="D180" s="41">
        <v>150</v>
      </c>
      <c r="E180" s="41">
        <v>15.1</v>
      </c>
      <c r="F180" s="41">
        <v>150</v>
      </c>
    </row>
    <row r="181" spans="1:6" ht="15" x14ac:dyDescent="0.25">
      <c r="A181" s="41"/>
      <c r="B181" s="59" t="s">
        <v>102</v>
      </c>
      <c r="C181" s="41">
        <v>19.399999999999999</v>
      </c>
      <c r="D181" s="41">
        <v>146</v>
      </c>
      <c r="E181" s="41">
        <v>20.5</v>
      </c>
      <c r="F181" s="41">
        <v>148</v>
      </c>
    </row>
    <row r="182" spans="1:6" ht="15" x14ac:dyDescent="0.25">
      <c r="A182" s="41"/>
      <c r="B182" s="59" t="s">
        <v>103</v>
      </c>
      <c r="C182" s="41">
        <v>15.5</v>
      </c>
      <c r="D182" s="41">
        <v>142</v>
      </c>
      <c r="E182" s="41">
        <v>16.399999999999999</v>
      </c>
      <c r="F182" s="41">
        <v>146</v>
      </c>
    </row>
    <row r="183" spans="1:6" ht="15" x14ac:dyDescent="0.25">
      <c r="A183" s="41" t="s">
        <v>191</v>
      </c>
      <c r="B183" s="59" t="s">
        <v>85</v>
      </c>
      <c r="C183" s="41">
        <v>20.2</v>
      </c>
      <c r="D183" s="41">
        <v>148</v>
      </c>
      <c r="E183" s="41">
        <v>24.4</v>
      </c>
      <c r="F183" s="41">
        <v>146</v>
      </c>
    </row>
    <row r="184" spans="1:6" ht="15" x14ac:dyDescent="0.25">
      <c r="A184" s="41"/>
      <c r="B184" s="59" t="s">
        <v>102</v>
      </c>
      <c r="C184" s="41">
        <v>23.9</v>
      </c>
      <c r="D184" s="41">
        <v>152</v>
      </c>
      <c r="E184" s="41">
        <v>24.1</v>
      </c>
      <c r="F184" s="41">
        <v>150</v>
      </c>
    </row>
    <row r="185" spans="1:6" ht="15" x14ac:dyDescent="0.25">
      <c r="A185" s="41"/>
      <c r="B185" s="59" t="s">
        <v>103</v>
      </c>
      <c r="C185" s="41">
        <v>21</v>
      </c>
      <c r="D185" s="41">
        <v>150</v>
      </c>
      <c r="E185" s="41">
        <v>23.7</v>
      </c>
      <c r="F185" s="41">
        <v>148</v>
      </c>
    </row>
    <row r="186" spans="1:6" ht="15" x14ac:dyDescent="0.25">
      <c r="A186" s="41" t="s">
        <v>192</v>
      </c>
      <c r="B186" s="59" t="s">
        <v>85</v>
      </c>
      <c r="C186" s="41">
        <v>19</v>
      </c>
      <c r="D186" s="41">
        <v>146</v>
      </c>
      <c r="E186" s="41">
        <v>22.9</v>
      </c>
      <c r="F186" s="41">
        <v>150</v>
      </c>
    </row>
    <row r="187" spans="1:6" ht="15" x14ac:dyDescent="0.25">
      <c r="A187" s="41"/>
      <c r="B187" s="59" t="s">
        <v>102</v>
      </c>
      <c r="C187" s="41">
        <v>16.399999999999999</v>
      </c>
      <c r="D187" s="41">
        <v>140</v>
      </c>
      <c r="E187" s="41">
        <v>17.100000000000001</v>
      </c>
      <c r="F187" s="41">
        <v>142</v>
      </c>
    </row>
    <row r="188" spans="1:6" ht="15" x14ac:dyDescent="0.25">
      <c r="A188" s="41"/>
      <c r="B188" s="59" t="s">
        <v>103</v>
      </c>
      <c r="C188" s="41">
        <v>17</v>
      </c>
      <c r="D188" s="41">
        <v>150</v>
      </c>
      <c r="E188" s="41">
        <v>17.899999999999999</v>
      </c>
      <c r="F188" s="41">
        <v>143</v>
      </c>
    </row>
    <row r="189" spans="1:6" ht="15" x14ac:dyDescent="0.25">
      <c r="A189" s="41" t="s">
        <v>193</v>
      </c>
      <c r="B189" s="59" t="s">
        <v>85</v>
      </c>
      <c r="C189" s="41">
        <v>16.8</v>
      </c>
      <c r="D189" s="41">
        <v>138</v>
      </c>
      <c r="E189" s="41">
        <v>21.5</v>
      </c>
      <c r="F189" s="41">
        <v>140</v>
      </c>
    </row>
    <row r="190" spans="1:6" ht="15" x14ac:dyDescent="0.25">
      <c r="A190" s="41"/>
      <c r="B190" s="59" t="s">
        <v>102</v>
      </c>
      <c r="C190" s="41">
        <v>22.8</v>
      </c>
      <c r="D190" s="41">
        <v>148</v>
      </c>
      <c r="E190" s="41">
        <v>23.2</v>
      </c>
      <c r="F190" s="41">
        <v>148</v>
      </c>
    </row>
    <row r="191" spans="1:6" ht="15" x14ac:dyDescent="0.25">
      <c r="A191" s="41"/>
      <c r="B191" s="59" t="s">
        <v>103</v>
      </c>
      <c r="C191" s="41">
        <v>21.4</v>
      </c>
      <c r="D191" s="41">
        <v>142</v>
      </c>
      <c r="E191" s="41">
        <v>22.4</v>
      </c>
      <c r="F191" s="41">
        <v>144</v>
      </c>
    </row>
    <row r="192" spans="1:6" ht="15" x14ac:dyDescent="0.25">
      <c r="A192" s="41" t="s">
        <v>194</v>
      </c>
      <c r="B192" s="59" t="s">
        <v>85</v>
      </c>
      <c r="C192" s="41">
        <v>18.8</v>
      </c>
      <c r="D192" s="41">
        <v>142</v>
      </c>
      <c r="E192" s="41">
        <v>20.2</v>
      </c>
      <c r="F192" s="41">
        <v>146</v>
      </c>
    </row>
    <row r="193" spans="1:6" ht="15" x14ac:dyDescent="0.25">
      <c r="A193" s="41"/>
      <c r="B193" s="59" t="s">
        <v>102</v>
      </c>
      <c r="C193" s="41">
        <v>24.1</v>
      </c>
      <c r="D193" s="41">
        <v>144</v>
      </c>
      <c r="E193" s="41">
        <v>29.9</v>
      </c>
      <c r="F193" s="41">
        <v>148</v>
      </c>
    </row>
    <row r="194" spans="1:6" ht="15" x14ac:dyDescent="0.25">
      <c r="A194" s="41"/>
      <c r="B194" s="59" t="s">
        <v>103</v>
      </c>
      <c r="C194" s="41">
        <v>22.4</v>
      </c>
      <c r="D194" s="41">
        <v>142</v>
      </c>
      <c r="E194" s="41">
        <v>23.9</v>
      </c>
      <c r="F194" s="41">
        <v>144</v>
      </c>
    </row>
    <row r="195" spans="1:6" ht="15" x14ac:dyDescent="0.25">
      <c r="A195" s="41" t="s">
        <v>195</v>
      </c>
      <c r="B195" s="59" t="s">
        <v>85</v>
      </c>
      <c r="C195" s="41">
        <v>19.399999999999999</v>
      </c>
      <c r="D195" s="41">
        <v>147</v>
      </c>
      <c r="E195" s="41">
        <v>18.2</v>
      </c>
      <c r="F195" s="41">
        <v>149</v>
      </c>
    </row>
    <row r="196" spans="1:6" ht="15" x14ac:dyDescent="0.25">
      <c r="A196" s="41"/>
      <c r="B196" s="59" t="s">
        <v>102</v>
      </c>
      <c r="C196" s="41">
        <v>20.9</v>
      </c>
      <c r="D196" s="41">
        <v>148</v>
      </c>
      <c r="E196" s="41">
        <v>21.2</v>
      </c>
      <c r="F196" s="41">
        <v>146</v>
      </c>
    </row>
    <row r="197" spans="1:6" ht="15" x14ac:dyDescent="0.25">
      <c r="A197" s="41"/>
      <c r="B197" s="59" t="s">
        <v>103</v>
      </c>
      <c r="C197" s="41">
        <v>21</v>
      </c>
      <c r="D197" s="41">
        <v>150</v>
      </c>
      <c r="E197" s="41">
        <v>23.7</v>
      </c>
      <c r="F197" s="41">
        <v>148</v>
      </c>
    </row>
    <row r="198" spans="1:6" ht="15" x14ac:dyDescent="0.25">
      <c r="A198" s="41" t="s">
        <v>196</v>
      </c>
      <c r="B198" s="59" t="s">
        <v>85</v>
      </c>
      <c r="C198" s="41">
        <v>17.2</v>
      </c>
      <c r="D198" s="41">
        <v>145</v>
      </c>
      <c r="E198" s="41">
        <v>15.4</v>
      </c>
      <c r="F198" s="41">
        <v>140</v>
      </c>
    </row>
    <row r="199" spans="1:6" ht="15" x14ac:dyDescent="0.25">
      <c r="A199" s="41"/>
      <c r="B199" s="59" t="s">
        <v>102</v>
      </c>
      <c r="C199" s="41">
        <v>21.5</v>
      </c>
      <c r="D199" s="41">
        <v>142</v>
      </c>
      <c r="E199" s="41">
        <v>23.5</v>
      </c>
      <c r="F199" s="41">
        <v>146</v>
      </c>
    </row>
    <row r="200" spans="1:6" ht="15" x14ac:dyDescent="0.25">
      <c r="A200" s="41"/>
      <c r="B200" s="59" t="s">
        <v>103</v>
      </c>
      <c r="C200" s="41">
        <v>23.3</v>
      </c>
      <c r="D200" s="41">
        <v>148</v>
      </c>
      <c r="E200" s="41">
        <v>24.4</v>
      </c>
      <c r="F200" s="41">
        <v>144</v>
      </c>
    </row>
    <row r="201" spans="1:6" ht="15" x14ac:dyDescent="0.25">
      <c r="A201" s="41" t="s">
        <v>198</v>
      </c>
      <c r="B201" s="59" t="s">
        <v>85</v>
      </c>
      <c r="C201" s="41">
        <v>20.9</v>
      </c>
      <c r="D201" s="41">
        <v>140</v>
      </c>
      <c r="E201" s="41">
        <v>20.6</v>
      </c>
      <c r="F201" s="41">
        <v>138</v>
      </c>
    </row>
    <row r="202" spans="1:6" ht="15" x14ac:dyDescent="0.25">
      <c r="A202" s="41"/>
      <c r="B202" s="59" t="s">
        <v>102</v>
      </c>
      <c r="C202" s="41">
        <v>14.8</v>
      </c>
      <c r="D202" s="41">
        <v>137</v>
      </c>
      <c r="E202" s="41">
        <v>19.3</v>
      </c>
      <c r="F202" s="41">
        <v>137</v>
      </c>
    </row>
    <row r="203" spans="1:6" ht="15" x14ac:dyDescent="0.25">
      <c r="A203" s="41"/>
      <c r="B203" s="59" t="s">
        <v>103</v>
      </c>
      <c r="C203" s="41">
        <v>14.8</v>
      </c>
      <c r="D203" s="41">
        <v>140</v>
      </c>
      <c r="E203" s="41">
        <v>17.399999999999999</v>
      </c>
      <c r="F203" s="41">
        <v>138</v>
      </c>
    </row>
    <row r="204" spans="1:6" ht="15" x14ac:dyDescent="0.25">
      <c r="A204" s="41" t="s">
        <v>200</v>
      </c>
      <c r="B204" s="59" t="s">
        <v>85</v>
      </c>
      <c r="C204" s="41">
        <v>20.399999999999999</v>
      </c>
      <c r="D204" s="41">
        <v>140</v>
      </c>
      <c r="E204" s="41">
        <v>24.9</v>
      </c>
      <c r="F204" s="41">
        <v>142</v>
      </c>
    </row>
    <row r="205" spans="1:6" ht="15" x14ac:dyDescent="0.25">
      <c r="A205" s="41"/>
      <c r="B205" s="59" t="s">
        <v>102</v>
      </c>
      <c r="C205" s="41">
        <v>18.600000000000001</v>
      </c>
      <c r="D205" s="41">
        <v>142</v>
      </c>
      <c r="E205" s="41">
        <v>20.100000000000001</v>
      </c>
      <c r="F205" s="41">
        <v>140</v>
      </c>
    </row>
    <row r="206" spans="1:6" ht="15" x14ac:dyDescent="0.25">
      <c r="A206" s="41"/>
      <c r="B206" s="59" t="s">
        <v>103</v>
      </c>
      <c r="C206" s="41">
        <v>22.8</v>
      </c>
      <c r="D206" s="41">
        <v>142</v>
      </c>
      <c r="E206" s="41">
        <v>23.9</v>
      </c>
      <c r="F206" s="41">
        <v>146</v>
      </c>
    </row>
    <row r="207" spans="1:6" ht="15" x14ac:dyDescent="0.25">
      <c r="A207" s="41" t="s">
        <v>201</v>
      </c>
      <c r="B207" s="59" t="s">
        <v>85</v>
      </c>
      <c r="C207" s="41">
        <v>15.1</v>
      </c>
      <c r="D207" s="41">
        <v>136</v>
      </c>
      <c r="E207" s="41">
        <v>19.100000000000001</v>
      </c>
      <c r="F207" s="41">
        <v>135</v>
      </c>
    </row>
    <row r="208" spans="1:6" ht="15" x14ac:dyDescent="0.25">
      <c r="A208" s="41"/>
      <c r="B208" s="59" t="s">
        <v>102</v>
      </c>
      <c r="C208" s="41">
        <v>20.8</v>
      </c>
      <c r="D208" s="41">
        <v>142</v>
      </c>
      <c r="E208" s="41">
        <v>24.2</v>
      </c>
      <c r="F208" s="41">
        <v>144</v>
      </c>
    </row>
    <row r="209" spans="1:6" ht="15" x14ac:dyDescent="0.25">
      <c r="A209" s="41"/>
      <c r="B209" s="59" t="s">
        <v>103</v>
      </c>
      <c r="C209" s="41">
        <v>22</v>
      </c>
      <c r="D209" s="41">
        <v>146</v>
      </c>
      <c r="E209" s="41">
        <v>20.7</v>
      </c>
      <c r="F209" s="41">
        <v>144</v>
      </c>
    </row>
    <row r="210" spans="1:6" ht="15" x14ac:dyDescent="0.25">
      <c r="A210" s="41" t="s">
        <v>202</v>
      </c>
      <c r="B210" s="59" t="s">
        <v>85</v>
      </c>
      <c r="C210" s="41">
        <v>22.1</v>
      </c>
      <c r="D210" s="41">
        <v>148</v>
      </c>
      <c r="E210" s="41">
        <v>23.4</v>
      </c>
      <c r="F210" s="41">
        <v>150</v>
      </c>
    </row>
    <row r="211" spans="1:6" ht="15" x14ac:dyDescent="0.25">
      <c r="A211" s="41"/>
      <c r="B211" s="59" t="s">
        <v>102</v>
      </c>
      <c r="C211" s="41">
        <v>16.8</v>
      </c>
      <c r="D211" s="41">
        <v>140</v>
      </c>
      <c r="E211" s="41">
        <v>17</v>
      </c>
      <c r="F211" s="41">
        <v>140</v>
      </c>
    </row>
    <row r="212" spans="1:6" ht="15" x14ac:dyDescent="0.25">
      <c r="A212" s="41"/>
      <c r="B212" s="59" t="s">
        <v>103</v>
      </c>
      <c r="C212" s="41">
        <v>17.600000000000001</v>
      </c>
      <c r="D212" s="41">
        <v>142</v>
      </c>
      <c r="E212" s="41">
        <v>18.2</v>
      </c>
      <c r="F212" s="41">
        <v>148</v>
      </c>
    </row>
    <row r="213" spans="1:6" ht="15" x14ac:dyDescent="0.25">
      <c r="A213" s="41" t="s">
        <v>203</v>
      </c>
      <c r="B213" s="59" t="s">
        <v>85</v>
      </c>
      <c r="C213" s="41">
        <v>23.4</v>
      </c>
      <c r="D213" s="41">
        <v>142</v>
      </c>
      <c r="E213" s="41">
        <v>23.7</v>
      </c>
      <c r="F213" s="41">
        <v>144</v>
      </c>
    </row>
    <row r="214" spans="1:6" ht="15" x14ac:dyDescent="0.25">
      <c r="A214" s="41"/>
      <c r="B214" s="59" t="s">
        <v>102</v>
      </c>
      <c r="C214" s="41">
        <v>26.7</v>
      </c>
      <c r="D214" s="41">
        <v>142</v>
      </c>
      <c r="E214" s="41">
        <v>24.6</v>
      </c>
      <c r="F214" s="41">
        <v>146</v>
      </c>
    </row>
    <row r="215" spans="1:6" ht="15" x14ac:dyDescent="0.25">
      <c r="A215" s="41"/>
      <c r="B215" s="59" t="s">
        <v>103</v>
      </c>
      <c r="C215" s="41">
        <v>26.3</v>
      </c>
      <c r="D215" s="41">
        <v>138</v>
      </c>
      <c r="E215" s="41">
        <v>25.3</v>
      </c>
      <c r="F215" s="41">
        <v>142</v>
      </c>
    </row>
    <row r="216" spans="1:6" ht="15" x14ac:dyDescent="0.25">
      <c r="A216" s="41" t="s">
        <v>204</v>
      </c>
      <c r="B216" s="59" t="s">
        <v>85</v>
      </c>
      <c r="C216" s="41">
        <v>19.399999999999999</v>
      </c>
      <c r="D216" s="41">
        <v>140</v>
      </c>
      <c r="E216" s="41">
        <v>23</v>
      </c>
      <c r="F216" s="41">
        <v>136</v>
      </c>
    </row>
    <row r="217" spans="1:6" ht="15" x14ac:dyDescent="0.25">
      <c r="A217" s="41"/>
      <c r="B217" s="59" t="s">
        <v>102</v>
      </c>
      <c r="C217" s="41">
        <v>22.7</v>
      </c>
      <c r="D217" s="41">
        <v>142</v>
      </c>
      <c r="E217" s="41">
        <v>21.1</v>
      </c>
      <c r="F217" s="41">
        <v>144</v>
      </c>
    </row>
    <row r="218" spans="1:6" ht="15" x14ac:dyDescent="0.25">
      <c r="A218" s="41"/>
      <c r="B218" s="59" t="s">
        <v>103</v>
      </c>
      <c r="C218" s="41">
        <v>18.600000000000001</v>
      </c>
      <c r="D218" s="41">
        <v>150</v>
      </c>
      <c r="E218" s="41">
        <v>19.8</v>
      </c>
      <c r="F218" s="41">
        <v>140</v>
      </c>
    </row>
    <row r="219" spans="1:6" ht="15" x14ac:dyDescent="0.25">
      <c r="A219" s="41" t="s">
        <v>205</v>
      </c>
      <c r="B219" s="59" t="s">
        <v>85</v>
      </c>
      <c r="C219" s="41">
        <v>15.2</v>
      </c>
      <c r="D219" s="41">
        <v>140</v>
      </c>
      <c r="E219" s="41">
        <v>15.7</v>
      </c>
      <c r="F219" s="41">
        <v>140</v>
      </c>
    </row>
    <row r="220" spans="1:6" ht="15" x14ac:dyDescent="0.25">
      <c r="A220" s="41"/>
      <c r="B220" s="59" t="s">
        <v>102</v>
      </c>
      <c r="C220" s="41">
        <v>20.8</v>
      </c>
      <c r="D220" s="41">
        <v>138</v>
      </c>
      <c r="E220" s="41">
        <v>21.4</v>
      </c>
      <c r="F220" s="41">
        <v>140</v>
      </c>
    </row>
    <row r="221" spans="1:6" ht="15" x14ac:dyDescent="0.25">
      <c r="A221" s="41"/>
      <c r="B221" s="59" t="s">
        <v>103</v>
      </c>
      <c r="C221" s="41">
        <v>20.9</v>
      </c>
      <c r="D221" s="41">
        <v>140</v>
      </c>
      <c r="E221" s="41">
        <v>21.1</v>
      </c>
      <c r="F221" s="41">
        <v>144</v>
      </c>
    </row>
    <row r="222" spans="1:6" ht="15" x14ac:dyDescent="0.25">
      <c r="A222" s="41" t="s">
        <v>206</v>
      </c>
      <c r="B222" s="59" t="s">
        <v>85</v>
      </c>
      <c r="C222" s="41">
        <v>20.5</v>
      </c>
      <c r="D222" s="41">
        <v>140</v>
      </c>
      <c r="E222" s="41">
        <v>21.5</v>
      </c>
      <c r="F222" s="41">
        <v>142</v>
      </c>
    </row>
    <row r="223" spans="1:6" ht="15" x14ac:dyDescent="0.25">
      <c r="A223" s="41"/>
      <c r="B223" s="59" t="s">
        <v>102</v>
      </c>
      <c r="C223" s="41">
        <v>20.8</v>
      </c>
      <c r="D223" s="41">
        <v>140</v>
      </c>
      <c r="E223" s="41">
        <v>21.7</v>
      </c>
      <c r="F223" s="41">
        <v>142</v>
      </c>
    </row>
    <row r="224" spans="1:6" ht="15" x14ac:dyDescent="0.25">
      <c r="A224" s="41"/>
      <c r="B224" s="59" t="s">
        <v>103</v>
      </c>
      <c r="C224" s="41">
        <v>27.9</v>
      </c>
      <c r="D224" s="41">
        <v>146</v>
      </c>
      <c r="E224" s="41">
        <v>22</v>
      </c>
      <c r="F224" s="41">
        <v>148</v>
      </c>
    </row>
    <row r="225" spans="1:6" ht="15" x14ac:dyDescent="0.25">
      <c r="A225" s="41" t="s">
        <v>207</v>
      </c>
      <c r="B225" s="59" t="s">
        <v>85</v>
      </c>
      <c r="C225" s="41">
        <v>24.4</v>
      </c>
      <c r="D225" s="41">
        <v>158</v>
      </c>
      <c r="E225" s="41">
        <v>24</v>
      </c>
      <c r="F225" s="41">
        <v>160</v>
      </c>
    </row>
    <row r="226" spans="1:6" ht="15" x14ac:dyDescent="0.25">
      <c r="A226" s="41"/>
      <c r="B226" s="59" t="s">
        <v>102</v>
      </c>
      <c r="C226" s="41">
        <v>18.399999999999999</v>
      </c>
      <c r="D226" s="41">
        <v>142</v>
      </c>
      <c r="E226" s="41">
        <v>17.899999999999999</v>
      </c>
      <c r="F226" s="41">
        <v>138</v>
      </c>
    </row>
    <row r="227" spans="1:6" ht="15" x14ac:dyDescent="0.25">
      <c r="A227" s="41"/>
      <c r="B227" s="59" t="s">
        <v>103</v>
      </c>
      <c r="C227" s="41">
        <v>22.7</v>
      </c>
      <c r="D227" s="41">
        <v>142</v>
      </c>
      <c r="E227" s="41">
        <v>21.1</v>
      </c>
      <c r="F227" s="41">
        <v>144</v>
      </c>
    </row>
    <row r="228" spans="1:6" ht="15" x14ac:dyDescent="0.25">
      <c r="A228" s="41" t="s">
        <v>208</v>
      </c>
      <c r="B228" s="59" t="s">
        <v>85</v>
      </c>
      <c r="C228" s="41">
        <v>29.1</v>
      </c>
      <c r="D228" s="41">
        <v>155</v>
      </c>
      <c r="E228" s="41">
        <v>29.4</v>
      </c>
      <c r="F228" s="41">
        <v>153</v>
      </c>
    </row>
    <row r="229" spans="1:6" ht="15" x14ac:dyDescent="0.25">
      <c r="A229" s="41"/>
      <c r="B229" s="59" t="s">
        <v>102</v>
      </c>
      <c r="C229" s="41">
        <v>22.4</v>
      </c>
      <c r="D229" s="41">
        <v>145</v>
      </c>
      <c r="E229" s="41">
        <v>23.1</v>
      </c>
      <c r="F229" s="41">
        <v>142</v>
      </c>
    </row>
    <row r="230" spans="1:6" ht="15" x14ac:dyDescent="0.25">
      <c r="A230" s="41"/>
      <c r="B230" s="59" t="s">
        <v>103</v>
      </c>
      <c r="C230" s="41">
        <v>21.1</v>
      </c>
      <c r="D230" s="41">
        <v>144</v>
      </c>
      <c r="E230" s="41">
        <v>22.7</v>
      </c>
      <c r="F230" s="41">
        <v>142</v>
      </c>
    </row>
    <row r="231" spans="1:6" ht="15" x14ac:dyDescent="0.25">
      <c r="A231" s="41" t="s">
        <v>209</v>
      </c>
      <c r="B231" s="59" t="s">
        <v>85</v>
      </c>
      <c r="C231" s="41">
        <v>24.6</v>
      </c>
      <c r="D231" s="41">
        <v>142</v>
      </c>
      <c r="E231" s="41">
        <v>23.8</v>
      </c>
      <c r="F231" s="41">
        <v>144</v>
      </c>
    </row>
    <row r="232" spans="1:6" ht="15" x14ac:dyDescent="0.25">
      <c r="A232" s="41"/>
      <c r="B232" s="59" t="s">
        <v>102</v>
      </c>
      <c r="C232" s="41">
        <v>21.6</v>
      </c>
      <c r="D232" s="41">
        <v>142</v>
      </c>
      <c r="E232" s="41">
        <v>22.8</v>
      </c>
      <c r="F232" s="41">
        <v>146</v>
      </c>
    </row>
    <row r="233" spans="1:6" ht="15" x14ac:dyDescent="0.25">
      <c r="A233" s="41"/>
      <c r="B233" s="59" t="s">
        <v>103</v>
      </c>
      <c r="C233" s="41">
        <v>22</v>
      </c>
      <c r="D233" s="41">
        <v>144</v>
      </c>
      <c r="E233" s="41">
        <v>23.2</v>
      </c>
      <c r="F233" s="41">
        <v>146</v>
      </c>
    </row>
    <row r="234" spans="1:6" ht="15" x14ac:dyDescent="0.25">
      <c r="A234" s="41" t="s">
        <v>210</v>
      </c>
      <c r="B234" s="59" t="s">
        <v>85</v>
      </c>
      <c r="C234" s="41">
        <v>18.600000000000001</v>
      </c>
      <c r="D234" s="41">
        <v>142</v>
      </c>
      <c r="E234" s="41">
        <v>27</v>
      </c>
      <c r="F234" s="41">
        <v>146</v>
      </c>
    </row>
    <row r="235" spans="1:6" ht="15" x14ac:dyDescent="0.25">
      <c r="A235" s="41"/>
      <c r="B235" s="59" t="s">
        <v>102</v>
      </c>
      <c r="C235" s="41">
        <v>14.8</v>
      </c>
      <c r="D235" s="41">
        <v>142</v>
      </c>
      <c r="E235" s="41">
        <v>15.7</v>
      </c>
      <c r="F235" s="41">
        <v>144</v>
      </c>
    </row>
    <row r="236" spans="1:6" ht="15" x14ac:dyDescent="0.25">
      <c r="A236" s="41"/>
      <c r="B236" s="59" t="s">
        <v>103</v>
      </c>
      <c r="C236" s="41">
        <v>16.399999999999999</v>
      </c>
      <c r="D236" s="41">
        <v>140</v>
      </c>
      <c r="E236" s="41">
        <v>17.3</v>
      </c>
      <c r="F236" s="41">
        <v>142</v>
      </c>
    </row>
    <row r="237" spans="1:6" ht="15" x14ac:dyDescent="0.25">
      <c r="A237" s="41" t="s">
        <v>311</v>
      </c>
      <c r="B237" s="59" t="s">
        <v>85</v>
      </c>
      <c r="C237" s="41">
        <v>21.7</v>
      </c>
      <c r="D237" s="41">
        <v>138</v>
      </c>
      <c r="E237" s="41">
        <v>19.899999999999999</v>
      </c>
      <c r="F237" s="41">
        <v>135</v>
      </c>
    </row>
    <row r="238" spans="1:6" ht="15" x14ac:dyDescent="0.25">
      <c r="A238" s="41"/>
      <c r="B238" s="59" t="s">
        <v>102</v>
      </c>
      <c r="C238" s="41">
        <v>20.100000000000001</v>
      </c>
      <c r="D238" s="41">
        <v>146</v>
      </c>
      <c r="E238" s="41">
        <v>18.7</v>
      </c>
      <c r="F238" s="41">
        <v>142</v>
      </c>
    </row>
    <row r="239" spans="1:6" ht="15" x14ac:dyDescent="0.25">
      <c r="A239" s="41"/>
      <c r="B239" s="59" t="s">
        <v>103</v>
      </c>
      <c r="C239" s="41">
        <v>20.2</v>
      </c>
      <c r="D239" s="41">
        <v>142</v>
      </c>
      <c r="E239" s="41">
        <v>21</v>
      </c>
      <c r="F239" s="41">
        <v>146</v>
      </c>
    </row>
    <row r="240" spans="1:6" ht="15" x14ac:dyDescent="0.25">
      <c r="A240" s="41" t="s">
        <v>312</v>
      </c>
      <c r="B240" s="59" t="s">
        <v>85</v>
      </c>
      <c r="C240" s="41">
        <v>24</v>
      </c>
      <c r="D240" s="41">
        <v>138</v>
      </c>
      <c r="E240" s="41">
        <v>26.9</v>
      </c>
      <c r="F240" s="41">
        <v>140</v>
      </c>
    </row>
    <row r="241" spans="1:6" ht="15" x14ac:dyDescent="0.25">
      <c r="A241" s="41"/>
      <c r="B241" s="59" t="s">
        <v>102</v>
      </c>
      <c r="C241" s="41">
        <v>19.399999999999999</v>
      </c>
      <c r="D241" s="41">
        <v>150</v>
      </c>
      <c r="E241" s="41">
        <v>21.2</v>
      </c>
      <c r="F241" s="41">
        <v>144</v>
      </c>
    </row>
    <row r="242" spans="1:6" ht="15" x14ac:dyDescent="0.25">
      <c r="A242" s="41"/>
      <c r="B242" s="59" t="s">
        <v>103</v>
      </c>
      <c r="C242" s="41">
        <v>22.8</v>
      </c>
      <c r="D242" s="41">
        <v>146</v>
      </c>
      <c r="E242" s="41">
        <v>21.1</v>
      </c>
      <c r="F242" s="41">
        <v>148</v>
      </c>
    </row>
    <row r="243" spans="1:6" ht="15" x14ac:dyDescent="0.25">
      <c r="A243" s="41" t="s">
        <v>313</v>
      </c>
      <c r="B243" s="59" t="s">
        <v>85</v>
      </c>
      <c r="C243" s="41">
        <v>29.5</v>
      </c>
      <c r="D243" s="41">
        <v>145</v>
      </c>
      <c r="E243" s="41">
        <v>28.7</v>
      </c>
      <c r="F243" s="41">
        <v>148</v>
      </c>
    </row>
    <row r="244" spans="1:6" ht="15" x14ac:dyDescent="0.25">
      <c r="A244" s="41"/>
      <c r="B244" s="59" t="s">
        <v>102</v>
      </c>
      <c r="C244" s="41">
        <v>17.600000000000001</v>
      </c>
      <c r="D244" s="41">
        <v>146</v>
      </c>
      <c r="E244" s="41">
        <v>18.399999999999999</v>
      </c>
      <c r="F244" s="41">
        <v>142</v>
      </c>
    </row>
    <row r="245" spans="1:6" ht="15" x14ac:dyDescent="0.25">
      <c r="A245" s="41"/>
      <c r="B245" s="59" t="s">
        <v>103</v>
      </c>
      <c r="C245" s="41">
        <v>20.3</v>
      </c>
      <c r="D245" s="41">
        <v>146</v>
      </c>
      <c r="E245" s="41">
        <v>21</v>
      </c>
      <c r="F245" s="41">
        <v>148</v>
      </c>
    </row>
    <row r="246" spans="1:6" ht="15" x14ac:dyDescent="0.25">
      <c r="A246" s="41" t="s">
        <v>314</v>
      </c>
      <c r="B246" s="59" t="s">
        <v>85</v>
      </c>
      <c r="C246" s="41">
        <v>11</v>
      </c>
      <c r="D246" s="41">
        <v>132</v>
      </c>
      <c r="E246" s="41">
        <v>24.2</v>
      </c>
      <c r="F246" s="41">
        <v>135</v>
      </c>
    </row>
    <row r="247" spans="1:6" ht="15" x14ac:dyDescent="0.25">
      <c r="A247" s="41"/>
      <c r="B247" s="59" t="s">
        <v>102</v>
      </c>
      <c r="C247" s="41">
        <v>17.899999999999999</v>
      </c>
      <c r="D247" s="41">
        <v>132</v>
      </c>
      <c r="E247" s="41">
        <v>18.2</v>
      </c>
      <c r="F247" s="41">
        <v>132</v>
      </c>
    </row>
    <row r="248" spans="1:6" ht="15" x14ac:dyDescent="0.25">
      <c r="A248" s="41"/>
      <c r="B248" s="59" t="s">
        <v>103</v>
      </c>
      <c r="C248" s="41">
        <v>37.700000000000003</v>
      </c>
      <c r="D248" s="41">
        <v>142</v>
      </c>
      <c r="E248" s="41">
        <v>30.1</v>
      </c>
      <c r="F248" s="41">
        <v>145</v>
      </c>
    </row>
    <row r="249" spans="1:6" ht="15" x14ac:dyDescent="0.25">
      <c r="A249" s="41" t="s">
        <v>315</v>
      </c>
      <c r="B249" s="59" t="s">
        <v>85</v>
      </c>
      <c r="C249" s="41">
        <v>16.399999999999999</v>
      </c>
      <c r="D249" s="41">
        <v>138</v>
      </c>
      <c r="E249" s="41">
        <v>29.8</v>
      </c>
      <c r="F249" s="41">
        <v>140</v>
      </c>
    </row>
    <row r="250" spans="1:6" ht="15" x14ac:dyDescent="0.25">
      <c r="A250" s="41"/>
      <c r="B250" s="59" t="s">
        <v>102</v>
      </c>
      <c r="C250" s="41">
        <v>24</v>
      </c>
      <c r="D250" s="41">
        <v>152</v>
      </c>
      <c r="E250" s="41">
        <v>30.1</v>
      </c>
      <c r="F250" s="41">
        <v>158</v>
      </c>
    </row>
    <row r="251" spans="1:6" ht="15" x14ac:dyDescent="0.25">
      <c r="A251" s="41"/>
      <c r="B251" s="59" t="s">
        <v>103</v>
      </c>
      <c r="C251" s="41">
        <v>22.8</v>
      </c>
      <c r="D251" s="41">
        <v>150</v>
      </c>
      <c r="E251" s="41">
        <v>28</v>
      </c>
      <c r="F251" s="41">
        <v>156</v>
      </c>
    </row>
    <row r="252" spans="1:6" ht="15" x14ac:dyDescent="0.25">
      <c r="A252" s="41" t="s">
        <v>316</v>
      </c>
      <c r="B252" s="59" t="s">
        <v>85</v>
      </c>
      <c r="C252" s="41">
        <v>14.1</v>
      </c>
      <c r="D252" s="41">
        <v>134</v>
      </c>
      <c r="E252" s="41">
        <v>15.3</v>
      </c>
      <c r="F252" s="41">
        <v>130</v>
      </c>
    </row>
    <row r="253" spans="1:6" ht="15" x14ac:dyDescent="0.25">
      <c r="A253" s="41"/>
      <c r="B253" s="59" t="s">
        <v>102</v>
      </c>
      <c r="C253" s="41">
        <v>16.899999999999999</v>
      </c>
      <c r="D253" s="41">
        <v>130</v>
      </c>
      <c r="E253" s="41">
        <v>17.3</v>
      </c>
      <c r="F253" s="41">
        <v>130</v>
      </c>
    </row>
    <row r="254" spans="1:6" ht="15" x14ac:dyDescent="0.25">
      <c r="A254" s="41"/>
      <c r="B254" s="59" t="s">
        <v>103</v>
      </c>
      <c r="C254" s="41">
        <v>15.2</v>
      </c>
      <c r="D254" s="41">
        <v>132</v>
      </c>
      <c r="E254" s="41">
        <v>15.7</v>
      </c>
      <c r="F254" s="41">
        <v>130</v>
      </c>
    </row>
    <row r="255" spans="1:6" ht="15" x14ac:dyDescent="0.25">
      <c r="A255" s="41" t="s">
        <v>317</v>
      </c>
      <c r="B255" s="59" t="s">
        <v>85</v>
      </c>
      <c r="C255" s="41">
        <v>20.5</v>
      </c>
      <c r="D255" s="41">
        <v>154</v>
      </c>
      <c r="E255" s="41">
        <v>25.9</v>
      </c>
      <c r="F255" s="41">
        <v>156</v>
      </c>
    </row>
    <row r="256" spans="1:6" ht="15" x14ac:dyDescent="0.25">
      <c r="A256" s="41"/>
      <c r="B256" s="59" t="s">
        <v>102</v>
      </c>
      <c r="C256" s="41">
        <v>23.4</v>
      </c>
      <c r="D256" s="41">
        <v>150</v>
      </c>
      <c r="E256" s="41">
        <v>24.8</v>
      </c>
      <c r="F256" s="41">
        <v>152</v>
      </c>
    </row>
    <row r="257" spans="1:6" ht="15" x14ac:dyDescent="0.25">
      <c r="A257" s="41"/>
      <c r="B257" s="59" t="s">
        <v>103</v>
      </c>
      <c r="C257" s="41">
        <v>19</v>
      </c>
      <c r="D257" s="41">
        <v>142</v>
      </c>
      <c r="E257" s="41">
        <v>20.9</v>
      </c>
      <c r="F257" s="41">
        <v>146</v>
      </c>
    </row>
    <row r="258" spans="1:6" ht="15" x14ac:dyDescent="0.25">
      <c r="A258" s="41" t="s">
        <v>319</v>
      </c>
      <c r="B258" s="59" t="s">
        <v>85</v>
      </c>
      <c r="C258" s="41">
        <v>19.5</v>
      </c>
      <c r="D258" s="41">
        <v>151</v>
      </c>
      <c r="E258" s="41">
        <v>22</v>
      </c>
      <c r="F258" s="41">
        <v>158</v>
      </c>
    </row>
    <row r="259" spans="1:6" ht="15" x14ac:dyDescent="0.25">
      <c r="A259" s="41"/>
      <c r="B259" s="59" t="s">
        <v>102</v>
      </c>
      <c r="C259" s="41">
        <v>20.8</v>
      </c>
      <c r="D259" s="41">
        <v>150</v>
      </c>
      <c r="E259" s="41">
        <v>22.4</v>
      </c>
      <c r="F259" s="41">
        <v>152</v>
      </c>
    </row>
    <row r="260" spans="1:6" ht="15" x14ac:dyDescent="0.25">
      <c r="A260" s="41"/>
      <c r="B260" s="59" t="s">
        <v>103</v>
      </c>
      <c r="C260" s="41">
        <v>20.2</v>
      </c>
      <c r="D260" s="41">
        <v>147</v>
      </c>
      <c r="E260" s="41">
        <v>21.8</v>
      </c>
      <c r="F260" s="41">
        <v>150</v>
      </c>
    </row>
    <row r="261" spans="1:6" ht="15" x14ac:dyDescent="0.25">
      <c r="A261" s="41" t="s">
        <v>320</v>
      </c>
      <c r="B261" s="59" t="s">
        <v>85</v>
      </c>
      <c r="C261" s="41">
        <v>22.9</v>
      </c>
      <c r="D261" s="41">
        <v>154</v>
      </c>
      <c r="E261" s="41">
        <v>23.5</v>
      </c>
      <c r="F261" s="41">
        <v>151</v>
      </c>
    </row>
    <row r="262" spans="1:6" ht="15" x14ac:dyDescent="0.25">
      <c r="A262" s="41"/>
      <c r="B262" s="59" t="s">
        <v>102</v>
      </c>
      <c r="C262" s="41">
        <v>20.2</v>
      </c>
      <c r="D262" s="41">
        <v>150</v>
      </c>
      <c r="E262" s="41">
        <v>19.399999999999999</v>
      </c>
      <c r="F262" s="41">
        <v>152</v>
      </c>
    </row>
    <row r="263" spans="1:6" ht="15" x14ac:dyDescent="0.25">
      <c r="A263" s="41"/>
      <c r="B263" s="59" t="s">
        <v>103</v>
      </c>
      <c r="C263" s="41">
        <v>22</v>
      </c>
      <c r="D263" s="41">
        <v>150</v>
      </c>
      <c r="E263" s="41">
        <v>22.4</v>
      </c>
      <c r="F263" s="41">
        <v>152</v>
      </c>
    </row>
    <row r="264" spans="1:6" ht="15" x14ac:dyDescent="0.25">
      <c r="A264" s="41" t="s">
        <v>321</v>
      </c>
      <c r="B264" s="59" t="s">
        <v>85</v>
      </c>
      <c r="C264" s="41">
        <v>23.4</v>
      </c>
      <c r="D264" s="41">
        <v>140</v>
      </c>
      <c r="E264" s="41">
        <v>23.4</v>
      </c>
      <c r="F264" s="41">
        <v>142</v>
      </c>
    </row>
    <row r="265" spans="1:6" ht="15" x14ac:dyDescent="0.25">
      <c r="A265" s="41"/>
      <c r="B265" s="59" t="s">
        <v>102</v>
      </c>
      <c r="C265" s="41">
        <v>23.7</v>
      </c>
      <c r="D265" s="41">
        <v>148</v>
      </c>
      <c r="E265" s="41">
        <v>22.5</v>
      </c>
      <c r="F265" s="41">
        <v>145</v>
      </c>
    </row>
    <row r="266" spans="1:6" ht="15" x14ac:dyDescent="0.25">
      <c r="A266" s="41"/>
      <c r="B266" s="59" t="s">
        <v>103</v>
      </c>
      <c r="C266" s="41">
        <v>20.3</v>
      </c>
      <c r="D266" s="41">
        <v>146</v>
      </c>
      <c r="E266" s="41">
        <v>21.2</v>
      </c>
      <c r="F266" s="41">
        <v>144</v>
      </c>
    </row>
    <row r="267" spans="1:6" ht="15" x14ac:dyDescent="0.25">
      <c r="A267" s="41" t="s">
        <v>323</v>
      </c>
      <c r="B267" s="59" t="s">
        <v>85</v>
      </c>
      <c r="C267" s="41">
        <v>23</v>
      </c>
      <c r="D267" s="41">
        <v>160</v>
      </c>
      <c r="E267" s="41">
        <v>20.5</v>
      </c>
      <c r="F267" s="41">
        <v>158</v>
      </c>
    </row>
    <row r="268" spans="1:6" ht="15" x14ac:dyDescent="0.25">
      <c r="A268" s="41"/>
      <c r="B268" s="59" t="s">
        <v>102</v>
      </c>
      <c r="C268" s="41">
        <v>21.9</v>
      </c>
      <c r="D268" s="41">
        <v>155</v>
      </c>
      <c r="E268" s="41">
        <v>22.4</v>
      </c>
      <c r="F268" s="41">
        <v>150</v>
      </c>
    </row>
    <row r="269" spans="1:6" ht="15" x14ac:dyDescent="0.25">
      <c r="A269" s="41"/>
      <c r="B269" s="59" t="s">
        <v>103</v>
      </c>
      <c r="C269" s="41">
        <v>20.7</v>
      </c>
      <c r="D269" s="41">
        <v>146</v>
      </c>
      <c r="E269" s="41">
        <v>21.2</v>
      </c>
      <c r="F269" s="41">
        <v>150</v>
      </c>
    </row>
    <row r="270" spans="1:6" ht="15" x14ac:dyDescent="0.25">
      <c r="A270" s="41" t="s">
        <v>324</v>
      </c>
      <c r="B270" s="59" t="s">
        <v>85</v>
      </c>
      <c r="C270" s="41">
        <v>23.5</v>
      </c>
      <c r="D270" s="41">
        <v>150</v>
      </c>
      <c r="E270" s="41">
        <v>19.899999999999999</v>
      </c>
      <c r="F270" s="41">
        <v>148</v>
      </c>
    </row>
    <row r="271" spans="1:6" ht="15" x14ac:dyDescent="0.25">
      <c r="A271" s="41"/>
      <c r="B271" s="59" t="s">
        <v>102</v>
      </c>
      <c r="C271" s="41">
        <v>21.8</v>
      </c>
      <c r="D271" s="41">
        <v>148</v>
      </c>
      <c r="E271" s="41">
        <v>22.4</v>
      </c>
      <c r="F271" s="41">
        <v>150</v>
      </c>
    </row>
    <row r="272" spans="1:6" ht="15" x14ac:dyDescent="0.25">
      <c r="A272" s="41"/>
      <c r="B272" s="59" t="s">
        <v>103</v>
      </c>
      <c r="C272" s="41">
        <v>21.6</v>
      </c>
      <c r="D272" s="41">
        <v>144</v>
      </c>
      <c r="E272" s="41">
        <v>23</v>
      </c>
      <c r="F272" s="41">
        <v>148</v>
      </c>
    </row>
    <row r="273" spans="1:6" ht="15" x14ac:dyDescent="0.25">
      <c r="A273" s="41" t="s">
        <v>325</v>
      </c>
      <c r="B273" s="59" t="s">
        <v>85</v>
      </c>
      <c r="C273" s="41">
        <v>22.2</v>
      </c>
      <c r="D273" s="41">
        <v>144</v>
      </c>
      <c r="E273" s="41">
        <v>24.5</v>
      </c>
      <c r="F273" s="41">
        <v>148</v>
      </c>
    </row>
    <row r="274" spans="1:6" ht="15" x14ac:dyDescent="0.25">
      <c r="A274" s="41"/>
      <c r="B274" s="59" t="s">
        <v>102</v>
      </c>
      <c r="C274" s="41">
        <v>18.3</v>
      </c>
      <c r="D274" s="41">
        <v>144</v>
      </c>
      <c r="E274" s="41">
        <v>23.8</v>
      </c>
      <c r="F274" s="41">
        <v>146</v>
      </c>
    </row>
    <row r="275" spans="1:6" ht="15" x14ac:dyDescent="0.25">
      <c r="A275" s="41"/>
      <c r="B275" s="59" t="s">
        <v>103</v>
      </c>
      <c r="C275" s="41">
        <v>19.399999999999999</v>
      </c>
      <c r="D275" s="41">
        <v>146</v>
      </c>
      <c r="E275" s="41">
        <v>21.2</v>
      </c>
      <c r="F275" s="41">
        <v>148</v>
      </c>
    </row>
    <row r="276" spans="1:6" ht="15" x14ac:dyDescent="0.25">
      <c r="A276" s="41" t="s">
        <v>326</v>
      </c>
      <c r="B276" s="59" t="s">
        <v>85</v>
      </c>
      <c r="C276" s="41">
        <v>18.399999999999999</v>
      </c>
      <c r="D276" s="41">
        <v>145</v>
      </c>
      <c r="E276" s="41">
        <v>27.3</v>
      </c>
      <c r="F276" s="41">
        <v>148</v>
      </c>
    </row>
    <row r="277" spans="1:6" ht="15" x14ac:dyDescent="0.25">
      <c r="A277" s="41"/>
      <c r="B277" s="59" t="s">
        <v>102</v>
      </c>
      <c r="C277" s="41">
        <v>24.3</v>
      </c>
      <c r="D277" s="41">
        <v>146</v>
      </c>
      <c r="E277" s="41">
        <v>25.1</v>
      </c>
      <c r="F277" s="41">
        <v>148</v>
      </c>
    </row>
    <row r="278" spans="1:6" ht="15" x14ac:dyDescent="0.25">
      <c r="A278" s="41"/>
      <c r="B278" s="59" t="s">
        <v>103</v>
      </c>
      <c r="C278" s="41">
        <v>22.9</v>
      </c>
      <c r="D278" s="41">
        <v>144</v>
      </c>
      <c r="E278" s="41">
        <v>23.5</v>
      </c>
      <c r="F278" s="41">
        <v>146</v>
      </c>
    </row>
    <row r="279" spans="1:6" ht="15" x14ac:dyDescent="0.25">
      <c r="A279" s="41" t="s">
        <v>327</v>
      </c>
      <c r="B279" s="59" t="s">
        <v>85</v>
      </c>
      <c r="C279" s="41">
        <v>19.899999999999999</v>
      </c>
      <c r="D279" s="41">
        <v>146</v>
      </c>
      <c r="E279" s="41">
        <v>16.2</v>
      </c>
      <c r="F279" s="41">
        <v>144</v>
      </c>
    </row>
    <row r="280" spans="1:6" ht="15" x14ac:dyDescent="0.25">
      <c r="A280" s="41"/>
      <c r="B280" s="59" t="s">
        <v>102</v>
      </c>
      <c r="C280" s="41">
        <v>21.5</v>
      </c>
      <c r="D280" s="41">
        <v>145</v>
      </c>
      <c r="E280" s="41">
        <v>22.2</v>
      </c>
      <c r="F280" s="41">
        <v>148</v>
      </c>
    </row>
    <row r="281" spans="1:6" ht="15" x14ac:dyDescent="0.25">
      <c r="A281" s="41"/>
      <c r="B281" s="59" t="s">
        <v>103</v>
      </c>
      <c r="C281" s="41">
        <v>17.7</v>
      </c>
      <c r="D281" s="41">
        <v>142</v>
      </c>
      <c r="E281" s="41">
        <v>18.600000000000001</v>
      </c>
      <c r="F281" s="41">
        <v>144</v>
      </c>
    </row>
    <row r="282" spans="1:6" ht="15" x14ac:dyDescent="0.25">
      <c r="A282" s="41" t="s">
        <v>329</v>
      </c>
      <c r="B282" s="59" t="s">
        <v>85</v>
      </c>
      <c r="C282" s="41">
        <v>18.5</v>
      </c>
      <c r="D282" s="41">
        <v>144</v>
      </c>
      <c r="E282" s="41">
        <v>25.5</v>
      </c>
      <c r="F282" s="41">
        <v>146</v>
      </c>
    </row>
    <row r="283" spans="1:6" ht="15" x14ac:dyDescent="0.25">
      <c r="A283" s="41"/>
      <c r="B283" s="59" t="s">
        <v>102</v>
      </c>
      <c r="C283" s="41">
        <v>11.8</v>
      </c>
      <c r="D283" s="41">
        <v>140</v>
      </c>
      <c r="E283" s="41">
        <v>12.4</v>
      </c>
      <c r="F283" s="41">
        <v>142</v>
      </c>
    </row>
    <row r="284" spans="1:6" ht="15" x14ac:dyDescent="0.25">
      <c r="A284" s="41"/>
      <c r="B284" s="59" t="s">
        <v>103</v>
      </c>
      <c r="C284" s="41">
        <v>15.1</v>
      </c>
      <c r="D284" s="41">
        <v>138</v>
      </c>
      <c r="E284" s="41">
        <v>17.3</v>
      </c>
      <c r="F284" s="41">
        <v>142</v>
      </c>
    </row>
    <row r="285" spans="1:6" ht="15" x14ac:dyDescent="0.25">
      <c r="A285" s="41" t="s">
        <v>330</v>
      </c>
      <c r="B285" s="59" t="s">
        <v>85</v>
      </c>
      <c r="C285" s="41">
        <v>15.9</v>
      </c>
      <c r="D285" s="41">
        <v>136</v>
      </c>
      <c r="E285" s="41">
        <v>16.899999999999999</v>
      </c>
      <c r="F285" s="41">
        <v>140</v>
      </c>
    </row>
    <row r="286" spans="1:6" ht="15" x14ac:dyDescent="0.25">
      <c r="A286" s="41"/>
      <c r="B286" s="59" t="s">
        <v>102</v>
      </c>
      <c r="C286" s="41">
        <v>19.600000000000001</v>
      </c>
      <c r="D286" s="41">
        <v>149</v>
      </c>
      <c r="E286" s="41">
        <v>16.899999999999999</v>
      </c>
      <c r="F286" s="41">
        <v>146</v>
      </c>
    </row>
    <row r="287" spans="1:6" ht="15" x14ac:dyDescent="0.25">
      <c r="A287" s="41"/>
      <c r="B287" s="59" t="s">
        <v>103</v>
      </c>
      <c r="C287" s="41">
        <v>17.600000000000001</v>
      </c>
      <c r="D287" s="41">
        <v>136</v>
      </c>
      <c r="E287" s="41">
        <v>18.7</v>
      </c>
      <c r="F287" s="41">
        <v>140</v>
      </c>
    </row>
    <row r="288" spans="1:6" ht="15" x14ac:dyDescent="0.25">
      <c r="A288" s="41" t="s">
        <v>331</v>
      </c>
      <c r="B288" s="59" t="s">
        <v>85</v>
      </c>
      <c r="C288" s="41">
        <v>18.600000000000001</v>
      </c>
      <c r="D288" s="41">
        <v>138</v>
      </c>
      <c r="E288" s="41">
        <v>22.9</v>
      </c>
      <c r="F288" s="41">
        <v>142</v>
      </c>
    </row>
    <row r="289" spans="1:6" ht="15" x14ac:dyDescent="0.25">
      <c r="A289" s="41"/>
      <c r="B289" s="59" t="s">
        <v>102</v>
      </c>
      <c r="C289" s="41">
        <v>18.7</v>
      </c>
      <c r="D289" s="41">
        <v>142</v>
      </c>
      <c r="E289" s="41">
        <v>23.3</v>
      </c>
      <c r="F289" s="41">
        <v>146</v>
      </c>
    </row>
    <row r="290" spans="1:6" ht="15" x14ac:dyDescent="0.25">
      <c r="A290" s="41"/>
      <c r="B290" s="59" t="s">
        <v>103</v>
      </c>
      <c r="C290" s="41">
        <v>20.5</v>
      </c>
      <c r="D290" s="41">
        <v>140</v>
      </c>
      <c r="E290" s="41">
        <v>21.1</v>
      </c>
      <c r="F290" s="41">
        <v>144</v>
      </c>
    </row>
    <row r="291" spans="1:6" ht="15" x14ac:dyDescent="0.25">
      <c r="A291" s="41" t="s">
        <v>334</v>
      </c>
      <c r="B291" s="59" t="s">
        <v>85</v>
      </c>
      <c r="C291" s="41">
        <v>19.2</v>
      </c>
      <c r="D291" s="41">
        <v>136</v>
      </c>
      <c r="E291" s="41">
        <v>28.8</v>
      </c>
      <c r="F291" s="41">
        <v>140</v>
      </c>
    </row>
    <row r="292" spans="1:6" ht="15" x14ac:dyDescent="0.25">
      <c r="A292" s="41"/>
      <c r="B292" s="59" t="s">
        <v>102</v>
      </c>
      <c r="C292" s="41">
        <v>23.4</v>
      </c>
      <c r="D292" s="41">
        <v>140</v>
      </c>
      <c r="E292" s="41">
        <v>26.5</v>
      </c>
      <c r="F292" s="41">
        <v>142</v>
      </c>
    </row>
    <row r="293" spans="1:6" ht="15" x14ac:dyDescent="0.25">
      <c r="A293" s="41"/>
      <c r="B293" s="59" t="s">
        <v>103</v>
      </c>
      <c r="C293" s="41">
        <v>24.3</v>
      </c>
      <c r="D293" s="41">
        <v>138</v>
      </c>
      <c r="E293" s="41">
        <v>25.1</v>
      </c>
      <c r="F293" s="41">
        <v>140</v>
      </c>
    </row>
    <row r="294" spans="1:6" ht="15" x14ac:dyDescent="0.25">
      <c r="A294" s="41" t="s">
        <v>333</v>
      </c>
      <c r="B294" s="59" t="s">
        <v>85</v>
      </c>
      <c r="C294" s="41">
        <v>16.7</v>
      </c>
      <c r="D294" s="41">
        <v>132</v>
      </c>
      <c r="E294" s="41">
        <v>17.5</v>
      </c>
      <c r="F294" s="41">
        <v>136</v>
      </c>
    </row>
    <row r="295" spans="1:6" ht="15" x14ac:dyDescent="0.25">
      <c r="A295" s="41"/>
      <c r="B295" s="59" t="s">
        <v>102</v>
      </c>
      <c r="C295" s="41">
        <v>22.2</v>
      </c>
      <c r="D295" s="41">
        <v>132</v>
      </c>
      <c r="E295" s="41">
        <v>23.1</v>
      </c>
      <c r="F295" s="41">
        <v>138</v>
      </c>
    </row>
    <row r="296" spans="1:6" ht="15" x14ac:dyDescent="0.25">
      <c r="A296" s="41"/>
      <c r="B296" s="59" t="s">
        <v>103</v>
      </c>
      <c r="C296" s="41">
        <v>20.399999999999999</v>
      </c>
      <c r="D296" s="41">
        <v>134</v>
      </c>
      <c r="E296" s="41">
        <v>20.6</v>
      </c>
      <c r="F296" s="41">
        <v>134</v>
      </c>
    </row>
    <row r="297" spans="1:6" ht="15" x14ac:dyDescent="0.25">
      <c r="A297" s="41" t="s">
        <v>336</v>
      </c>
      <c r="B297" s="59" t="s">
        <v>85</v>
      </c>
      <c r="C297" s="41">
        <v>18.2</v>
      </c>
      <c r="D297" s="41">
        <v>130</v>
      </c>
      <c r="E297" s="41">
        <v>27.1</v>
      </c>
      <c r="F297" s="41">
        <v>132</v>
      </c>
    </row>
    <row r="298" spans="1:6" ht="15" x14ac:dyDescent="0.25">
      <c r="A298" s="41"/>
      <c r="B298" s="59" t="s">
        <v>102</v>
      </c>
      <c r="C298" s="41">
        <v>23.7</v>
      </c>
      <c r="D298" s="41">
        <v>132</v>
      </c>
      <c r="E298" s="41">
        <v>25.5</v>
      </c>
      <c r="F298" s="41">
        <v>134</v>
      </c>
    </row>
    <row r="299" spans="1:6" ht="15" x14ac:dyDescent="0.25">
      <c r="A299" s="41"/>
      <c r="B299" s="59" t="s">
        <v>103</v>
      </c>
      <c r="C299" s="41">
        <v>21.5</v>
      </c>
      <c r="D299" s="41">
        <v>130</v>
      </c>
      <c r="E299" s="41">
        <v>22.2</v>
      </c>
      <c r="F299" s="41">
        <v>132</v>
      </c>
    </row>
    <row r="300" spans="1:6" ht="15" x14ac:dyDescent="0.25">
      <c r="A300" s="41" t="s">
        <v>337</v>
      </c>
      <c r="B300" s="59" t="s">
        <v>85</v>
      </c>
      <c r="C300" s="41">
        <v>22.8</v>
      </c>
      <c r="D300" s="41">
        <v>138</v>
      </c>
      <c r="E300" s="41">
        <v>23.6</v>
      </c>
      <c r="F300" s="41">
        <v>136</v>
      </c>
    </row>
    <row r="301" spans="1:6" ht="15" x14ac:dyDescent="0.25">
      <c r="A301" s="41"/>
      <c r="B301" s="59" t="s">
        <v>102</v>
      </c>
      <c r="C301" s="41">
        <v>23.3</v>
      </c>
      <c r="D301" s="41">
        <v>136</v>
      </c>
      <c r="E301" s="41">
        <v>23.3</v>
      </c>
      <c r="F301" s="41">
        <v>134</v>
      </c>
    </row>
    <row r="302" spans="1:6" ht="15" x14ac:dyDescent="0.25">
      <c r="A302" s="41"/>
      <c r="B302" s="59" t="s">
        <v>103</v>
      </c>
      <c r="C302" s="41">
        <v>19.899999999999999</v>
      </c>
      <c r="D302" s="41">
        <v>130</v>
      </c>
      <c r="E302" s="41">
        <v>20.7</v>
      </c>
      <c r="F302" s="41">
        <v>130</v>
      </c>
    </row>
    <row r="303" spans="1:6" ht="15" x14ac:dyDescent="0.25">
      <c r="A303" s="41" t="s">
        <v>338</v>
      </c>
      <c r="B303" s="59" t="s">
        <v>85</v>
      </c>
      <c r="C303" s="41">
        <v>18</v>
      </c>
      <c r="D303" s="41">
        <v>130</v>
      </c>
      <c r="E303" s="41">
        <v>23.1</v>
      </c>
      <c r="F303" s="41">
        <v>132</v>
      </c>
    </row>
    <row r="304" spans="1:6" ht="15" x14ac:dyDescent="0.25">
      <c r="A304" s="41"/>
      <c r="B304" s="59" t="s">
        <v>102</v>
      </c>
      <c r="C304" s="41">
        <v>22.6</v>
      </c>
      <c r="D304" s="41">
        <v>132</v>
      </c>
      <c r="E304" s="41">
        <v>25.4</v>
      </c>
      <c r="F304" s="41">
        <v>136</v>
      </c>
    </row>
    <row r="305" spans="1:6" ht="15" x14ac:dyDescent="0.25">
      <c r="A305" s="41"/>
      <c r="B305" s="59" t="s">
        <v>103</v>
      </c>
      <c r="C305" s="41">
        <v>23</v>
      </c>
      <c r="D305" s="41">
        <v>140</v>
      </c>
      <c r="E305" s="41">
        <v>24.3</v>
      </c>
      <c r="F305" s="41">
        <v>135</v>
      </c>
    </row>
    <row r="306" spans="1:6" ht="15" x14ac:dyDescent="0.25">
      <c r="A306" s="41" t="s">
        <v>339</v>
      </c>
      <c r="B306" s="59" t="s">
        <v>85</v>
      </c>
      <c r="C306" s="41">
        <v>24.9</v>
      </c>
      <c r="D306" s="41">
        <v>148</v>
      </c>
      <c r="E306" s="41">
        <v>22.4</v>
      </c>
      <c r="F306" s="41">
        <v>152</v>
      </c>
    </row>
    <row r="307" spans="1:6" ht="15" x14ac:dyDescent="0.25">
      <c r="A307" s="41"/>
      <c r="B307" s="59" t="s">
        <v>102</v>
      </c>
      <c r="C307" s="41">
        <v>21.1</v>
      </c>
      <c r="D307" s="41">
        <v>145</v>
      </c>
      <c r="E307" s="41">
        <v>20.3</v>
      </c>
      <c r="F307" s="41">
        <v>148</v>
      </c>
    </row>
    <row r="308" spans="1:6" ht="15" x14ac:dyDescent="0.25">
      <c r="A308" s="41"/>
      <c r="B308" s="59" t="s">
        <v>103</v>
      </c>
      <c r="C308" s="41">
        <v>21.9</v>
      </c>
      <c r="D308" s="41">
        <v>145</v>
      </c>
      <c r="E308" s="41">
        <v>23.2</v>
      </c>
      <c r="F308" s="41">
        <v>140</v>
      </c>
    </row>
    <row r="309" spans="1:6" ht="15" x14ac:dyDescent="0.25">
      <c r="A309" s="41" t="s">
        <v>341</v>
      </c>
      <c r="B309" s="59" t="s">
        <v>85</v>
      </c>
      <c r="C309" s="41">
        <v>18.2</v>
      </c>
      <c r="D309" s="41">
        <v>136</v>
      </c>
      <c r="E309" s="41">
        <v>15.6</v>
      </c>
      <c r="F309" s="41">
        <v>139</v>
      </c>
    </row>
    <row r="310" spans="1:6" ht="15" x14ac:dyDescent="0.25">
      <c r="A310" s="41"/>
      <c r="B310" s="59" t="s">
        <v>102</v>
      </c>
      <c r="C310" s="41">
        <v>14.6</v>
      </c>
      <c r="D310" s="41">
        <v>134</v>
      </c>
      <c r="E310" s="41">
        <v>19.100000000000001</v>
      </c>
      <c r="F310" s="41">
        <v>138</v>
      </c>
    </row>
    <row r="311" spans="1:6" ht="15" x14ac:dyDescent="0.25">
      <c r="A311" s="41"/>
      <c r="B311" s="59" t="s">
        <v>103</v>
      </c>
      <c r="C311" s="41">
        <v>18.2</v>
      </c>
      <c r="D311" s="41">
        <v>142</v>
      </c>
      <c r="E311" s="41">
        <v>20.3</v>
      </c>
      <c r="F311" s="41">
        <v>140</v>
      </c>
    </row>
    <row r="312" spans="1:6" ht="15" x14ac:dyDescent="0.25">
      <c r="A312" s="41" t="s">
        <v>342</v>
      </c>
      <c r="B312" s="59" t="s">
        <v>85</v>
      </c>
      <c r="C312" s="41">
        <v>21.5</v>
      </c>
      <c r="D312" s="41">
        <v>137</v>
      </c>
      <c r="E312" s="41">
        <v>23.4</v>
      </c>
      <c r="F312" s="41">
        <v>140</v>
      </c>
    </row>
    <row r="313" spans="1:6" ht="15" x14ac:dyDescent="0.25">
      <c r="A313" s="41"/>
      <c r="B313" s="59" t="s">
        <v>102</v>
      </c>
      <c r="C313" s="41">
        <v>20.2</v>
      </c>
      <c r="D313" s="41">
        <v>140</v>
      </c>
      <c r="E313" s="41">
        <v>19.100000000000001</v>
      </c>
      <c r="F313" s="41">
        <v>142</v>
      </c>
    </row>
    <row r="314" spans="1:6" ht="15" x14ac:dyDescent="0.25">
      <c r="A314" s="41"/>
      <c r="B314" s="59" t="s">
        <v>103</v>
      </c>
      <c r="C314" s="41">
        <v>22.2</v>
      </c>
      <c r="D314" s="41">
        <v>138</v>
      </c>
      <c r="E314" s="41">
        <v>23</v>
      </c>
      <c r="F314" s="41">
        <v>140</v>
      </c>
    </row>
    <row r="315" spans="1:6" ht="15" x14ac:dyDescent="0.25">
      <c r="A315" s="41" t="s">
        <v>343</v>
      </c>
      <c r="B315" s="59" t="s">
        <v>85</v>
      </c>
      <c r="C315" s="41">
        <v>20.8</v>
      </c>
      <c r="D315" s="41">
        <v>136</v>
      </c>
      <c r="E315" s="41">
        <v>24.5</v>
      </c>
      <c r="F315" s="41">
        <v>138</v>
      </c>
    </row>
    <row r="316" spans="1:6" ht="15" x14ac:dyDescent="0.25">
      <c r="A316" s="41"/>
      <c r="B316" s="59" t="s">
        <v>102</v>
      </c>
      <c r="C316" s="41">
        <v>14.2</v>
      </c>
      <c r="D316" s="41">
        <v>136</v>
      </c>
      <c r="E316" s="41">
        <v>18.5</v>
      </c>
      <c r="F316" s="41">
        <v>140</v>
      </c>
    </row>
    <row r="317" spans="1:6" ht="15" x14ac:dyDescent="0.25">
      <c r="A317" s="41"/>
      <c r="B317" s="59" t="s">
        <v>103</v>
      </c>
      <c r="C317" s="41">
        <v>16.2</v>
      </c>
      <c r="D317" s="41">
        <v>138</v>
      </c>
      <c r="E317" s="41">
        <v>18.2</v>
      </c>
      <c r="F317" s="41">
        <v>140</v>
      </c>
    </row>
    <row r="318" spans="1:6" ht="15" x14ac:dyDescent="0.25">
      <c r="A318" s="41" t="s">
        <v>344</v>
      </c>
      <c r="B318" s="59" t="s">
        <v>85</v>
      </c>
      <c r="C318" s="41">
        <v>24.5</v>
      </c>
      <c r="D318" s="41">
        <v>132</v>
      </c>
      <c r="E318" s="41">
        <v>17.2</v>
      </c>
      <c r="F318" s="41">
        <v>138</v>
      </c>
    </row>
    <row r="319" spans="1:6" ht="15" x14ac:dyDescent="0.25">
      <c r="A319" s="41"/>
      <c r="B319" s="59" t="s">
        <v>102</v>
      </c>
      <c r="C319" s="41">
        <v>10.5</v>
      </c>
      <c r="D319" s="41">
        <v>130</v>
      </c>
      <c r="E319" s="41">
        <v>11</v>
      </c>
      <c r="F319" s="41">
        <v>134</v>
      </c>
    </row>
    <row r="320" spans="1:6" ht="15" x14ac:dyDescent="0.25">
      <c r="A320" s="41"/>
      <c r="B320" s="59" t="s">
        <v>103</v>
      </c>
      <c r="C320" s="41">
        <v>12</v>
      </c>
      <c r="D320" s="41">
        <v>139</v>
      </c>
      <c r="E320" s="41">
        <v>13.2</v>
      </c>
      <c r="F320" s="41">
        <v>138</v>
      </c>
    </row>
    <row r="321" spans="1:6" ht="15" x14ac:dyDescent="0.25">
      <c r="A321" s="41" t="s">
        <v>345</v>
      </c>
      <c r="B321" s="59" t="s">
        <v>85</v>
      </c>
      <c r="C321" s="41">
        <v>18.600000000000001</v>
      </c>
      <c r="D321" s="41">
        <v>130</v>
      </c>
      <c r="E321" s="41">
        <v>23.2</v>
      </c>
      <c r="F321" s="41">
        <v>136</v>
      </c>
    </row>
    <row r="322" spans="1:6" ht="15" x14ac:dyDescent="0.25">
      <c r="A322" s="41"/>
      <c r="B322" s="59" t="s">
        <v>103</v>
      </c>
      <c r="C322" s="41">
        <v>19.2</v>
      </c>
      <c r="D322" s="41">
        <v>132</v>
      </c>
      <c r="E322" s="41">
        <v>23.3</v>
      </c>
      <c r="F322" s="41">
        <v>134</v>
      </c>
    </row>
    <row r="323" spans="1:6" ht="15" x14ac:dyDescent="0.25">
      <c r="A323" s="41" t="s">
        <v>346</v>
      </c>
      <c r="B323" s="59" t="s">
        <v>85</v>
      </c>
      <c r="C323" s="41">
        <v>13.7</v>
      </c>
      <c r="D323" s="41">
        <v>130</v>
      </c>
      <c r="E323" s="41">
        <v>16.3</v>
      </c>
      <c r="F323" s="41">
        <v>134</v>
      </c>
    </row>
    <row r="324" spans="1:6" ht="15" x14ac:dyDescent="0.25">
      <c r="A324" s="41"/>
      <c r="B324" s="59" t="s">
        <v>102</v>
      </c>
      <c r="C324" s="41">
        <v>13.4</v>
      </c>
      <c r="D324" s="41">
        <v>132</v>
      </c>
      <c r="E324" s="41">
        <v>18.399999999999999</v>
      </c>
      <c r="F324" s="41">
        <v>136</v>
      </c>
    </row>
    <row r="325" spans="1:6" ht="15" x14ac:dyDescent="0.25">
      <c r="A325" s="41"/>
      <c r="B325" s="59" t="s">
        <v>103</v>
      </c>
      <c r="C325" s="41">
        <v>15.6</v>
      </c>
      <c r="D325" s="41">
        <v>134</v>
      </c>
      <c r="E325" s="41">
        <v>19.100000000000001</v>
      </c>
      <c r="F325" s="41">
        <v>138</v>
      </c>
    </row>
    <row r="326" spans="1:6" ht="15" x14ac:dyDescent="0.25">
      <c r="A326" s="41" t="s">
        <v>348</v>
      </c>
      <c r="B326" s="59" t="s">
        <v>85</v>
      </c>
      <c r="C326" s="41">
        <v>18.399999999999999</v>
      </c>
      <c r="D326" s="41">
        <v>132</v>
      </c>
      <c r="E326" s="41">
        <v>23.4</v>
      </c>
      <c r="F326" s="41">
        <v>136</v>
      </c>
    </row>
    <row r="327" spans="1:6" ht="15" x14ac:dyDescent="0.25">
      <c r="A327" s="41"/>
      <c r="B327" s="59" t="s">
        <v>102</v>
      </c>
      <c r="C327" s="41">
        <v>25.5</v>
      </c>
      <c r="D327" s="41">
        <v>136</v>
      </c>
      <c r="E327" s="41">
        <v>23</v>
      </c>
      <c r="F327" s="41">
        <v>140</v>
      </c>
    </row>
    <row r="328" spans="1:6" ht="15" x14ac:dyDescent="0.25">
      <c r="A328" s="41"/>
      <c r="B328" s="59" t="s">
        <v>103</v>
      </c>
      <c r="C328" s="41">
        <v>19</v>
      </c>
      <c r="D328" s="41">
        <v>136</v>
      </c>
      <c r="E328" s="41">
        <v>23.5</v>
      </c>
      <c r="F328" s="41">
        <v>140</v>
      </c>
    </row>
    <row r="329" spans="1:6" ht="15" x14ac:dyDescent="0.25">
      <c r="A329" s="41" t="s">
        <v>349</v>
      </c>
      <c r="B329" s="59" t="s">
        <v>85</v>
      </c>
      <c r="C329" s="41">
        <v>27.2</v>
      </c>
      <c r="D329" s="41">
        <v>140</v>
      </c>
      <c r="E329" s="41">
        <v>27.2</v>
      </c>
      <c r="F329" s="41">
        <v>137</v>
      </c>
    </row>
    <row r="330" spans="1:6" ht="15" x14ac:dyDescent="0.25">
      <c r="A330" s="41"/>
      <c r="B330" s="59" t="s">
        <v>102</v>
      </c>
      <c r="C330" s="41">
        <v>22.2</v>
      </c>
      <c r="D330" s="41">
        <v>136</v>
      </c>
      <c r="E330" s="41">
        <v>24.8</v>
      </c>
      <c r="F330" s="41">
        <v>138</v>
      </c>
    </row>
    <row r="331" spans="1:6" ht="15" x14ac:dyDescent="0.25">
      <c r="A331" s="41"/>
      <c r="B331" s="59" t="s">
        <v>103</v>
      </c>
      <c r="C331" s="41">
        <v>23.4</v>
      </c>
      <c r="D331" s="41">
        <v>134</v>
      </c>
      <c r="E331" s="41">
        <v>25.2</v>
      </c>
      <c r="F331" s="41">
        <v>136</v>
      </c>
    </row>
    <row r="332" spans="1:6" ht="15" x14ac:dyDescent="0.25">
      <c r="A332" s="41" t="s">
        <v>350</v>
      </c>
      <c r="B332" s="59" t="s">
        <v>85</v>
      </c>
      <c r="C332" s="41">
        <v>22.7</v>
      </c>
      <c r="D332" s="41">
        <v>136</v>
      </c>
      <c r="E332" s="41">
        <v>15.6</v>
      </c>
      <c r="F332" s="41">
        <v>138</v>
      </c>
    </row>
    <row r="333" spans="1:6" ht="15" x14ac:dyDescent="0.25">
      <c r="A333" s="41"/>
      <c r="B333" s="59" t="s">
        <v>102</v>
      </c>
      <c r="C333" s="41">
        <v>12.3</v>
      </c>
      <c r="D333" s="41">
        <v>134</v>
      </c>
      <c r="E333" s="41">
        <v>13.7</v>
      </c>
      <c r="F333" s="41">
        <v>137</v>
      </c>
    </row>
    <row r="334" spans="1:6" ht="15" x14ac:dyDescent="0.25">
      <c r="A334" s="41"/>
      <c r="B334" s="59" t="s">
        <v>103</v>
      </c>
      <c r="C334" s="41">
        <v>18.5</v>
      </c>
      <c r="D334" s="41">
        <v>136</v>
      </c>
      <c r="E334" s="41">
        <v>16.3</v>
      </c>
      <c r="F334" s="41">
        <v>132</v>
      </c>
    </row>
    <row r="335" spans="1:6" ht="15" x14ac:dyDescent="0.25">
      <c r="A335" s="41" t="s">
        <v>352</v>
      </c>
      <c r="B335" s="59" t="s">
        <v>85</v>
      </c>
      <c r="C335" s="41">
        <v>20.100000000000001</v>
      </c>
      <c r="D335" s="41">
        <v>133</v>
      </c>
      <c r="E335" s="41">
        <v>11.6</v>
      </c>
      <c r="F335" s="41">
        <v>136</v>
      </c>
    </row>
    <row r="336" spans="1:6" ht="15" x14ac:dyDescent="0.25">
      <c r="A336" s="41"/>
      <c r="B336" s="59" t="s">
        <v>102</v>
      </c>
      <c r="C336" s="41">
        <v>19.2</v>
      </c>
      <c r="D336" s="41">
        <v>132</v>
      </c>
      <c r="E336" s="41">
        <v>17.100000000000001</v>
      </c>
      <c r="F336" s="41">
        <v>136</v>
      </c>
    </row>
    <row r="337" spans="1:6" ht="15" x14ac:dyDescent="0.25">
      <c r="A337" s="41" t="s">
        <v>353</v>
      </c>
      <c r="B337" s="59" t="s">
        <v>85</v>
      </c>
      <c r="C337" s="41">
        <v>11.2</v>
      </c>
      <c r="D337" s="41">
        <v>132</v>
      </c>
      <c r="E337" s="41">
        <v>12.8</v>
      </c>
      <c r="F337" s="41">
        <v>134</v>
      </c>
    </row>
    <row r="338" spans="1:6" ht="15" x14ac:dyDescent="0.25">
      <c r="A338" s="41"/>
      <c r="B338" s="59" t="s">
        <v>102</v>
      </c>
      <c r="C338" s="41">
        <v>17.3</v>
      </c>
      <c r="D338" s="41">
        <v>132</v>
      </c>
      <c r="E338" s="41">
        <v>15</v>
      </c>
      <c r="F338" s="41">
        <v>134</v>
      </c>
    </row>
    <row r="339" spans="1:6" ht="15" x14ac:dyDescent="0.25">
      <c r="A339" s="41"/>
      <c r="B339" s="59" t="s">
        <v>103</v>
      </c>
      <c r="C339" s="41">
        <v>17.2</v>
      </c>
      <c r="D339" s="41">
        <v>132</v>
      </c>
      <c r="E339" s="41">
        <v>17.399999999999999</v>
      </c>
      <c r="F339" s="41">
        <v>130</v>
      </c>
    </row>
    <row r="340" spans="1:6" ht="15" x14ac:dyDescent="0.25">
      <c r="A340" s="41" t="s">
        <v>354</v>
      </c>
      <c r="B340" s="59" t="s">
        <v>85</v>
      </c>
      <c r="C340" s="41">
        <v>18.3</v>
      </c>
      <c r="D340" s="41">
        <v>132</v>
      </c>
      <c r="E340" s="41">
        <v>17.8</v>
      </c>
      <c r="F340" s="41">
        <v>134</v>
      </c>
    </row>
    <row r="341" spans="1:6" ht="15" x14ac:dyDescent="0.25">
      <c r="A341" s="41"/>
      <c r="B341" s="59" t="s">
        <v>102</v>
      </c>
      <c r="C341" s="41">
        <v>18.5</v>
      </c>
      <c r="D341" s="41">
        <v>132</v>
      </c>
      <c r="E341" s="41">
        <v>19.100000000000001</v>
      </c>
      <c r="F341" s="41">
        <v>134</v>
      </c>
    </row>
    <row r="342" spans="1:6" ht="15" x14ac:dyDescent="0.25">
      <c r="A342" s="41"/>
      <c r="B342" s="59" t="s">
        <v>103</v>
      </c>
      <c r="C342" s="41">
        <v>16.7</v>
      </c>
      <c r="D342" s="41">
        <v>130</v>
      </c>
      <c r="E342" s="41">
        <v>17.5</v>
      </c>
      <c r="F342" s="41">
        <v>132</v>
      </c>
    </row>
    <row r="343" spans="1:6" ht="15" x14ac:dyDescent="0.25">
      <c r="A343" s="41" t="s">
        <v>356</v>
      </c>
      <c r="B343" s="59" t="s">
        <v>85</v>
      </c>
      <c r="C343" s="41">
        <v>18.2</v>
      </c>
      <c r="D343" s="41">
        <v>132</v>
      </c>
      <c r="E343" s="41">
        <v>24.5</v>
      </c>
      <c r="F343" s="41">
        <v>134</v>
      </c>
    </row>
    <row r="344" spans="1:6" ht="15" x14ac:dyDescent="0.25">
      <c r="A344" s="41"/>
      <c r="B344" s="59" t="s">
        <v>102</v>
      </c>
      <c r="C344" s="41">
        <v>16.7</v>
      </c>
      <c r="D344" s="41">
        <v>133</v>
      </c>
      <c r="E344" s="41">
        <v>14.3</v>
      </c>
      <c r="F344" s="41">
        <v>136</v>
      </c>
    </row>
    <row r="345" spans="1:6" ht="15" x14ac:dyDescent="0.25">
      <c r="A345" s="41"/>
      <c r="B345" s="59" t="s">
        <v>103</v>
      </c>
      <c r="C345" s="41">
        <v>17.8</v>
      </c>
      <c r="D345" s="41">
        <v>134</v>
      </c>
      <c r="E345" s="41">
        <v>18.100000000000001</v>
      </c>
      <c r="F345" s="41">
        <v>136</v>
      </c>
    </row>
    <row r="346" spans="1:6" ht="15" x14ac:dyDescent="0.25">
      <c r="A346" s="41" t="s">
        <v>357</v>
      </c>
      <c r="B346" s="59" t="s">
        <v>85</v>
      </c>
      <c r="C346" s="41">
        <v>22</v>
      </c>
      <c r="D346" s="41">
        <v>148</v>
      </c>
      <c r="E346" s="41">
        <v>20.3</v>
      </c>
      <c r="F346" s="41">
        <v>146</v>
      </c>
    </row>
    <row r="347" spans="1:6" ht="15" x14ac:dyDescent="0.25">
      <c r="A347" s="41"/>
      <c r="B347" s="59" t="s">
        <v>102</v>
      </c>
      <c r="C347" s="41">
        <v>21.4</v>
      </c>
      <c r="D347" s="41">
        <v>144</v>
      </c>
      <c r="E347" s="41">
        <v>22.9</v>
      </c>
      <c r="F347" s="41">
        <v>142</v>
      </c>
    </row>
    <row r="348" spans="1:6" ht="15" x14ac:dyDescent="0.25">
      <c r="A348" s="41"/>
      <c r="B348" s="59" t="s">
        <v>103</v>
      </c>
      <c r="C348" s="41">
        <v>19.399999999999999</v>
      </c>
      <c r="D348" s="41">
        <v>142</v>
      </c>
      <c r="E348" s="41">
        <v>21.2</v>
      </c>
      <c r="F348" s="41">
        <v>140</v>
      </c>
    </row>
    <row r="349" spans="1:6" ht="15" x14ac:dyDescent="0.25">
      <c r="A349" s="41" t="s">
        <v>358</v>
      </c>
      <c r="B349" s="59" t="s">
        <v>85</v>
      </c>
      <c r="C349" s="41">
        <v>26.5</v>
      </c>
      <c r="D349" s="41">
        <v>142</v>
      </c>
      <c r="E349" s="41">
        <v>24.4</v>
      </c>
      <c r="F349" s="41">
        <v>144</v>
      </c>
    </row>
    <row r="350" spans="1:6" ht="15" x14ac:dyDescent="0.25">
      <c r="A350" s="41"/>
      <c r="B350" s="59" t="s">
        <v>102</v>
      </c>
      <c r="C350" s="41">
        <v>18.5</v>
      </c>
      <c r="D350" s="41">
        <v>143</v>
      </c>
      <c r="E350" s="41">
        <v>16.899999999999999</v>
      </c>
      <c r="F350" s="41">
        <v>146</v>
      </c>
    </row>
    <row r="351" spans="1:6" ht="15" x14ac:dyDescent="0.25">
      <c r="A351" s="41"/>
      <c r="B351" s="59" t="s">
        <v>103</v>
      </c>
      <c r="C351" s="41">
        <v>17.7</v>
      </c>
      <c r="D351" s="41">
        <v>144</v>
      </c>
      <c r="E351" s="41">
        <v>18.600000000000001</v>
      </c>
      <c r="F351" s="41">
        <v>148</v>
      </c>
    </row>
    <row r="352" spans="1:6" ht="15" x14ac:dyDescent="0.25">
      <c r="A352" s="41" t="s">
        <v>367</v>
      </c>
      <c r="B352" s="59" t="s">
        <v>85</v>
      </c>
      <c r="C352" s="41">
        <v>13.5</v>
      </c>
      <c r="D352" s="41">
        <v>142</v>
      </c>
      <c r="E352" s="41">
        <v>11.2</v>
      </c>
      <c r="F352" s="41">
        <v>146</v>
      </c>
    </row>
    <row r="353" spans="1:6" ht="15" x14ac:dyDescent="0.25">
      <c r="A353" s="41"/>
      <c r="B353" s="59" t="s">
        <v>102</v>
      </c>
      <c r="C353" s="41">
        <v>13.6</v>
      </c>
      <c r="D353" s="41">
        <v>142</v>
      </c>
      <c r="E353" s="41">
        <v>12.4</v>
      </c>
      <c r="F353" s="41">
        <v>144</v>
      </c>
    </row>
    <row r="354" spans="1:6" ht="15" x14ac:dyDescent="0.25">
      <c r="A354" s="41"/>
      <c r="B354" s="59" t="s">
        <v>103</v>
      </c>
      <c r="C354" s="41">
        <v>14.6</v>
      </c>
      <c r="D354" s="41">
        <v>146</v>
      </c>
      <c r="E354" s="41">
        <v>13.6</v>
      </c>
      <c r="F354" s="41">
        <v>148</v>
      </c>
    </row>
    <row r="355" spans="1:6" ht="15" x14ac:dyDescent="0.25">
      <c r="A355" s="41" t="s">
        <v>368</v>
      </c>
      <c r="B355" s="59" t="s">
        <v>85</v>
      </c>
      <c r="C355" s="41">
        <v>14.2</v>
      </c>
      <c r="D355" s="41">
        <v>143</v>
      </c>
      <c r="E355" s="41">
        <v>19.899999999999999</v>
      </c>
      <c r="F355" s="41">
        <v>146</v>
      </c>
    </row>
    <row r="356" spans="1:6" ht="15" x14ac:dyDescent="0.25">
      <c r="A356" s="41"/>
      <c r="B356" s="59" t="s">
        <v>102</v>
      </c>
      <c r="C356" s="41">
        <v>18.3</v>
      </c>
      <c r="D356" s="41">
        <v>142</v>
      </c>
      <c r="E356" s="41">
        <v>15.9</v>
      </c>
      <c r="F356" s="41">
        <v>144</v>
      </c>
    </row>
    <row r="357" spans="1:6" ht="15" x14ac:dyDescent="0.25">
      <c r="A357" s="41"/>
      <c r="B357" s="59" t="s">
        <v>103</v>
      </c>
      <c r="C357" s="41">
        <v>18.100000000000001</v>
      </c>
      <c r="D357" s="41">
        <v>144</v>
      </c>
      <c r="E357" s="41">
        <v>19.100000000000001</v>
      </c>
      <c r="F357" s="41">
        <v>146</v>
      </c>
    </row>
    <row r="358" spans="1:6" ht="15" x14ac:dyDescent="0.25">
      <c r="A358" s="41" t="s">
        <v>369</v>
      </c>
      <c r="B358" s="59" t="s">
        <v>85</v>
      </c>
      <c r="C358" s="41">
        <v>25.2</v>
      </c>
      <c r="D358" s="41">
        <v>141</v>
      </c>
      <c r="E358" s="41">
        <v>26</v>
      </c>
      <c r="F358" s="41">
        <v>144</v>
      </c>
    </row>
    <row r="359" spans="1:6" ht="15" x14ac:dyDescent="0.25">
      <c r="A359" s="41"/>
      <c r="B359" s="59" t="s">
        <v>102</v>
      </c>
      <c r="C359" s="41">
        <v>20.2</v>
      </c>
      <c r="D359" s="41">
        <v>140</v>
      </c>
      <c r="E359" s="41">
        <v>20.9</v>
      </c>
      <c r="F359" s="41">
        <v>142</v>
      </c>
    </row>
    <row r="360" spans="1:6" ht="15" x14ac:dyDescent="0.25">
      <c r="A360" s="41"/>
      <c r="B360" s="59" t="s">
        <v>103</v>
      </c>
      <c r="C360" s="41">
        <v>20.7</v>
      </c>
      <c r="D360" s="41">
        <v>140</v>
      </c>
      <c r="E360" s="41">
        <v>22.2</v>
      </c>
      <c r="F360" s="41">
        <v>144</v>
      </c>
    </row>
    <row r="361" spans="1:6" ht="15" x14ac:dyDescent="0.25">
      <c r="A361" s="41" t="s">
        <v>370</v>
      </c>
      <c r="B361" s="59" t="s">
        <v>85</v>
      </c>
      <c r="C361" s="41">
        <v>18.100000000000001</v>
      </c>
      <c r="D361" s="41">
        <v>140</v>
      </c>
      <c r="E361" s="41">
        <v>18.5</v>
      </c>
      <c r="F361" s="41">
        <v>140</v>
      </c>
    </row>
    <row r="362" spans="1:6" ht="15" x14ac:dyDescent="0.25">
      <c r="A362" s="41"/>
      <c r="B362" s="59" t="s">
        <v>102</v>
      </c>
      <c r="C362" s="41">
        <v>12.6</v>
      </c>
      <c r="D362" s="41">
        <v>140</v>
      </c>
      <c r="E362" s="41">
        <v>19.3</v>
      </c>
      <c r="F362" s="41">
        <v>142</v>
      </c>
    </row>
    <row r="363" spans="1:6" ht="15" x14ac:dyDescent="0.25">
      <c r="A363" s="41"/>
      <c r="B363" s="59" t="s">
        <v>103</v>
      </c>
      <c r="C363" s="41">
        <v>16.3</v>
      </c>
      <c r="D363" s="41">
        <v>142</v>
      </c>
      <c r="E363" s="41">
        <v>18</v>
      </c>
      <c r="F363" s="41">
        <v>144</v>
      </c>
    </row>
    <row r="364" spans="1:6" ht="15" x14ac:dyDescent="0.25">
      <c r="A364" s="41" t="s">
        <v>371</v>
      </c>
      <c r="B364" s="59" t="s">
        <v>85</v>
      </c>
      <c r="C364" s="41">
        <v>15.7</v>
      </c>
      <c r="D364" s="41">
        <v>142</v>
      </c>
      <c r="E364" s="41">
        <v>17.8</v>
      </c>
      <c r="F364" s="41">
        <v>144</v>
      </c>
    </row>
    <row r="365" spans="1:6" ht="15" x14ac:dyDescent="0.25">
      <c r="A365" s="41"/>
      <c r="B365" s="59" t="s">
        <v>102</v>
      </c>
      <c r="C365" s="41">
        <v>19.7</v>
      </c>
      <c r="D365" s="41">
        <v>140</v>
      </c>
      <c r="E365" s="41">
        <v>18.7</v>
      </c>
      <c r="F365" s="41">
        <v>142</v>
      </c>
    </row>
    <row r="366" spans="1:6" ht="15" x14ac:dyDescent="0.25">
      <c r="A366" s="41"/>
      <c r="B366" s="59" t="s">
        <v>103</v>
      </c>
      <c r="C366" s="41">
        <v>23.7</v>
      </c>
      <c r="D366" s="41">
        <v>140</v>
      </c>
      <c r="E366" s="41">
        <v>22.6</v>
      </c>
      <c r="F366" s="41">
        <v>142</v>
      </c>
    </row>
    <row r="367" spans="1:6" ht="15" x14ac:dyDescent="0.25">
      <c r="A367" s="41" t="s">
        <v>158</v>
      </c>
      <c r="B367" s="59" t="s">
        <v>85</v>
      </c>
      <c r="C367" s="41">
        <v>19.100000000000001</v>
      </c>
      <c r="D367" s="41">
        <v>140</v>
      </c>
      <c r="E367" s="41">
        <v>19.7</v>
      </c>
      <c r="F367" s="41">
        <v>143</v>
      </c>
    </row>
    <row r="368" spans="1:6" ht="15" x14ac:dyDescent="0.25">
      <c r="A368" s="41"/>
      <c r="B368" s="59" t="s">
        <v>102</v>
      </c>
      <c r="C368" s="41">
        <v>20</v>
      </c>
      <c r="D368" s="41">
        <v>141</v>
      </c>
      <c r="E368" s="41">
        <v>20.399999999999999</v>
      </c>
      <c r="F368" s="41">
        <v>142</v>
      </c>
    </row>
    <row r="369" spans="1:6" ht="15" x14ac:dyDescent="0.25">
      <c r="A369" s="41"/>
      <c r="B369" s="59" t="s">
        <v>103</v>
      </c>
      <c r="C369" s="41">
        <v>20.2</v>
      </c>
      <c r="D369" s="41">
        <v>140</v>
      </c>
      <c r="E369" s="41">
        <v>21.1</v>
      </c>
      <c r="F369" s="41">
        <v>142</v>
      </c>
    </row>
    <row r="370" spans="1:6" ht="15" x14ac:dyDescent="0.25">
      <c r="A370" s="41" t="s">
        <v>374</v>
      </c>
      <c r="B370" s="59" t="s">
        <v>85</v>
      </c>
      <c r="C370" s="41">
        <v>11.5</v>
      </c>
      <c r="D370" s="41">
        <v>140</v>
      </c>
      <c r="E370" s="41">
        <v>13.8</v>
      </c>
      <c r="F370" s="41">
        <v>142</v>
      </c>
    </row>
    <row r="371" spans="1:6" ht="15" x14ac:dyDescent="0.25">
      <c r="A371" s="41"/>
      <c r="B371" s="59" t="s">
        <v>102</v>
      </c>
      <c r="C371" s="41">
        <v>13.2</v>
      </c>
      <c r="D371" s="41">
        <v>140</v>
      </c>
      <c r="E371" s="41">
        <v>16</v>
      </c>
      <c r="F371" s="41">
        <v>142</v>
      </c>
    </row>
    <row r="372" spans="1:6" ht="15" x14ac:dyDescent="0.25">
      <c r="A372" s="41"/>
      <c r="B372" s="59" t="s">
        <v>103</v>
      </c>
      <c r="C372" s="41">
        <v>18.5</v>
      </c>
      <c r="D372" s="41">
        <v>148</v>
      </c>
      <c r="E372" s="41">
        <v>20.2</v>
      </c>
      <c r="F372" s="41">
        <v>141</v>
      </c>
    </row>
    <row r="373" spans="1:6" ht="15" x14ac:dyDescent="0.25">
      <c r="A373" s="41" t="s">
        <v>375</v>
      </c>
      <c r="B373" s="59" t="s">
        <v>85</v>
      </c>
      <c r="C373" s="41">
        <v>12.9</v>
      </c>
      <c r="D373" s="41">
        <v>140</v>
      </c>
      <c r="E373" s="41">
        <v>17.2</v>
      </c>
      <c r="F373" s="41">
        <v>142</v>
      </c>
    </row>
    <row r="374" spans="1:6" ht="15" x14ac:dyDescent="0.25">
      <c r="A374" s="41"/>
      <c r="B374" s="59" t="s">
        <v>102</v>
      </c>
      <c r="C374" s="41">
        <v>16.399999999999999</v>
      </c>
      <c r="D374" s="41">
        <v>142</v>
      </c>
      <c r="E374" s="41">
        <v>14.2</v>
      </c>
      <c r="F374" s="41">
        <v>144</v>
      </c>
    </row>
    <row r="375" spans="1:6" ht="15" x14ac:dyDescent="0.25">
      <c r="A375" s="41"/>
      <c r="B375" s="59" t="s">
        <v>103</v>
      </c>
      <c r="C375" s="41">
        <v>15.7</v>
      </c>
      <c r="D375" s="41">
        <v>148</v>
      </c>
      <c r="E375" s="41">
        <v>16.3</v>
      </c>
      <c r="F375" s="41">
        <v>141</v>
      </c>
    </row>
    <row r="376" spans="1:6" ht="15" x14ac:dyDescent="0.25">
      <c r="A376" s="41" t="s">
        <v>377</v>
      </c>
      <c r="B376" s="59" t="s">
        <v>85</v>
      </c>
      <c r="C376" s="41">
        <v>15.3</v>
      </c>
      <c r="D376" s="41">
        <v>142</v>
      </c>
      <c r="E376" s="41">
        <v>17.7</v>
      </c>
      <c r="F376" s="41">
        <v>146</v>
      </c>
    </row>
    <row r="377" spans="1:6" ht="15" x14ac:dyDescent="0.25">
      <c r="A377" s="41"/>
      <c r="B377" s="59" t="s">
        <v>102</v>
      </c>
      <c r="C377" s="41">
        <v>13.5</v>
      </c>
      <c r="D377" s="41">
        <v>144</v>
      </c>
      <c r="E377" s="41">
        <v>12</v>
      </c>
      <c r="F377" s="41">
        <v>146</v>
      </c>
    </row>
    <row r="378" spans="1:6" ht="15" x14ac:dyDescent="0.25">
      <c r="A378" s="41"/>
      <c r="B378" s="59" t="s">
        <v>103</v>
      </c>
      <c r="C378" s="41">
        <v>15.2</v>
      </c>
      <c r="D378" s="41">
        <v>144</v>
      </c>
      <c r="E378" s="41">
        <v>18.399999999999999</v>
      </c>
      <c r="F378" s="41">
        <v>146</v>
      </c>
    </row>
    <row r="379" spans="1:6" ht="15" x14ac:dyDescent="0.25">
      <c r="A379" s="41" t="s">
        <v>378</v>
      </c>
      <c r="B379" s="59" t="s">
        <v>85</v>
      </c>
      <c r="C379" s="41">
        <v>18.899999999999999</v>
      </c>
      <c r="D379" s="41">
        <v>142</v>
      </c>
      <c r="E379" s="41">
        <v>22.6</v>
      </c>
      <c r="F379" s="41">
        <v>144</v>
      </c>
    </row>
    <row r="380" spans="1:6" ht="15" x14ac:dyDescent="0.25">
      <c r="A380" s="41"/>
      <c r="B380" s="59" t="s">
        <v>102</v>
      </c>
      <c r="C380" s="41">
        <v>20.2</v>
      </c>
      <c r="D380" s="41">
        <v>140</v>
      </c>
      <c r="E380" s="41">
        <v>21.9</v>
      </c>
      <c r="F380" s="41">
        <v>142</v>
      </c>
    </row>
    <row r="381" spans="1:6" ht="15" x14ac:dyDescent="0.25">
      <c r="A381" s="41"/>
      <c r="B381" s="59" t="s">
        <v>103</v>
      </c>
      <c r="C381" s="41">
        <v>18.100000000000001</v>
      </c>
      <c r="D381" s="41">
        <v>142</v>
      </c>
      <c r="E381" s="41">
        <v>91.1</v>
      </c>
      <c r="F381" s="41">
        <v>144</v>
      </c>
    </row>
    <row r="382" spans="1:6" ht="15" x14ac:dyDescent="0.25">
      <c r="A382" s="41" t="s">
        <v>379</v>
      </c>
      <c r="B382" s="59" t="s">
        <v>85</v>
      </c>
      <c r="C382" s="41">
        <v>24.3</v>
      </c>
      <c r="D382" s="41">
        <v>142</v>
      </c>
      <c r="E382" s="41">
        <v>23.1</v>
      </c>
      <c r="F382" s="41">
        <v>140</v>
      </c>
    </row>
    <row r="383" spans="1:6" ht="15" x14ac:dyDescent="0.25">
      <c r="A383" s="41"/>
      <c r="B383" s="59" t="s">
        <v>102</v>
      </c>
      <c r="C383" s="41">
        <v>22.2</v>
      </c>
      <c r="D383" s="41">
        <v>142</v>
      </c>
      <c r="E383" s="41">
        <v>21.7</v>
      </c>
      <c r="F383" s="41">
        <v>145</v>
      </c>
    </row>
    <row r="384" spans="1:6" ht="15" x14ac:dyDescent="0.25">
      <c r="A384" s="41"/>
      <c r="B384" s="59" t="s">
        <v>103</v>
      </c>
      <c r="C384" s="41">
        <v>25</v>
      </c>
      <c r="D384" s="41">
        <v>146</v>
      </c>
      <c r="E384" s="41">
        <v>23.1</v>
      </c>
      <c r="F384" s="41">
        <v>142</v>
      </c>
    </row>
    <row r="385" spans="1:7" ht="15" x14ac:dyDescent="0.25">
      <c r="A385" s="41" t="s">
        <v>380</v>
      </c>
      <c r="B385" s="59" t="s">
        <v>85</v>
      </c>
      <c r="C385" s="41">
        <v>17.2</v>
      </c>
      <c r="D385" s="41">
        <v>142</v>
      </c>
      <c r="E385" s="41">
        <v>18.100000000000001</v>
      </c>
      <c r="F385" s="41">
        <v>144</v>
      </c>
    </row>
    <row r="386" spans="1:7" ht="15" x14ac:dyDescent="0.25">
      <c r="A386" s="41"/>
      <c r="B386" s="59" t="s">
        <v>102</v>
      </c>
      <c r="C386" s="41">
        <v>16.3</v>
      </c>
      <c r="D386" s="41">
        <v>142</v>
      </c>
      <c r="E386" s="41">
        <v>16.100000000000001</v>
      </c>
      <c r="F386" s="41">
        <v>146</v>
      </c>
    </row>
    <row r="387" spans="1:7" ht="15" x14ac:dyDescent="0.25">
      <c r="A387" s="41"/>
      <c r="B387" s="59" t="s">
        <v>103</v>
      </c>
      <c r="C387" s="41">
        <v>22</v>
      </c>
      <c r="D387" s="41">
        <v>144</v>
      </c>
      <c r="E387" s="41">
        <v>22.4</v>
      </c>
      <c r="F387" s="41">
        <v>146</v>
      </c>
    </row>
    <row r="388" spans="1:7" ht="15" x14ac:dyDescent="0.25">
      <c r="A388" s="41" t="s">
        <v>381</v>
      </c>
      <c r="B388" s="59" t="s">
        <v>85</v>
      </c>
      <c r="C388" s="41">
        <v>18.2</v>
      </c>
      <c r="D388" s="41">
        <v>144</v>
      </c>
      <c r="E388" s="41">
        <v>21.2</v>
      </c>
      <c r="F388" s="41">
        <v>148</v>
      </c>
    </row>
    <row r="389" spans="1:7" ht="15" x14ac:dyDescent="0.25">
      <c r="A389" s="41"/>
      <c r="B389" s="59" t="s">
        <v>102</v>
      </c>
      <c r="C389" s="41">
        <v>17.399999999999999</v>
      </c>
      <c r="D389" s="41">
        <v>140</v>
      </c>
      <c r="E389" s="41">
        <v>20.2</v>
      </c>
      <c r="F389" s="41">
        <v>137</v>
      </c>
    </row>
    <row r="390" spans="1:7" ht="15" x14ac:dyDescent="0.25">
      <c r="A390" s="41"/>
      <c r="B390" s="59" t="s">
        <v>103</v>
      </c>
      <c r="C390" s="41">
        <v>21.6</v>
      </c>
      <c r="D390" s="41">
        <v>144</v>
      </c>
      <c r="E390" s="41">
        <v>19.8</v>
      </c>
      <c r="F390" s="41">
        <v>142</v>
      </c>
    </row>
    <row r="391" spans="1:7" ht="15" x14ac:dyDescent="0.25">
      <c r="A391" s="41" t="s">
        <v>382</v>
      </c>
      <c r="B391" s="59" t="s">
        <v>85</v>
      </c>
      <c r="C391" s="41">
        <v>15.6</v>
      </c>
      <c r="D391" s="41">
        <v>140</v>
      </c>
      <c r="E391" s="41">
        <v>16.100000000000001</v>
      </c>
      <c r="F391" s="41">
        <v>142</v>
      </c>
    </row>
    <row r="392" spans="1:7" ht="15" x14ac:dyDescent="0.25">
      <c r="A392" s="41"/>
      <c r="B392" s="59" t="s">
        <v>102</v>
      </c>
      <c r="C392" s="41">
        <v>13.6</v>
      </c>
      <c r="D392" s="41">
        <v>138</v>
      </c>
      <c r="E392" s="41">
        <v>14.3</v>
      </c>
      <c r="F392" s="41">
        <v>140</v>
      </c>
    </row>
    <row r="393" spans="1:7" ht="15" x14ac:dyDescent="0.25">
      <c r="A393" s="41"/>
      <c r="B393" s="59" t="s">
        <v>103</v>
      </c>
      <c r="C393" s="41">
        <v>12.7</v>
      </c>
      <c r="D393" s="41">
        <v>140</v>
      </c>
      <c r="E393" s="41">
        <v>15.9</v>
      </c>
      <c r="F393" s="41">
        <v>142</v>
      </c>
    </row>
    <row r="394" spans="1:7" ht="15" x14ac:dyDescent="0.25">
      <c r="A394" s="41" t="s">
        <v>383</v>
      </c>
      <c r="B394" s="59" t="s">
        <v>85</v>
      </c>
      <c r="C394" s="41">
        <v>14.1</v>
      </c>
      <c r="D394" s="41">
        <v>142</v>
      </c>
      <c r="E394" s="41">
        <v>16.3</v>
      </c>
      <c r="F394" s="41">
        <v>144</v>
      </c>
    </row>
    <row r="395" spans="1:7" ht="15" x14ac:dyDescent="0.25">
      <c r="A395" s="36"/>
      <c r="B395" s="91" t="s">
        <v>102</v>
      </c>
      <c r="C395" s="36">
        <v>13.1</v>
      </c>
      <c r="D395" s="36">
        <v>140</v>
      </c>
      <c r="E395" s="41">
        <v>18.899999999999999</v>
      </c>
      <c r="F395" s="41">
        <v>142</v>
      </c>
    </row>
    <row r="396" spans="1:7" ht="15" x14ac:dyDescent="0.25">
      <c r="A396" s="41"/>
      <c r="B396" s="59" t="s">
        <v>103</v>
      </c>
      <c r="C396" s="41">
        <v>17.2</v>
      </c>
      <c r="D396" s="41">
        <v>136</v>
      </c>
      <c r="E396" s="41">
        <v>18.2</v>
      </c>
      <c r="F396" s="41">
        <v>140</v>
      </c>
      <c r="G396" s="92"/>
    </row>
    <row r="397" spans="1:7" ht="15" x14ac:dyDescent="0.25">
      <c r="A397" s="41" t="s">
        <v>384</v>
      </c>
      <c r="B397" s="59" t="s">
        <v>85</v>
      </c>
      <c r="C397" s="41">
        <v>20.6</v>
      </c>
      <c r="D397" s="41">
        <v>138</v>
      </c>
      <c r="E397" s="41">
        <v>21.9</v>
      </c>
      <c r="F397" s="41">
        <v>140</v>
      </c>
      <c r="G397" s="92"/>
    </row>
    <row r="398" spans="1:7" ht="15" x14ac:dyDescent="0.25">
      <c r="A398" s="41"/>
      <c r="B398" s="91" t="s">
        <v>102</v>
      </c>
      <c r="C398" s="41">
        <v>15.5</v>
      </c>
      <c r="D398" s="41">
        <v>136</v>
      </c>
      <c r="E398" s="41">
        <v>23.8</v>
      </c>
      <c r="F398" s="41">
        <v>140</v>
      </c>
      <c r="G398" s="92"/>
    </row>
    <row r="399" spans="1:7" ht="15" x14ac:dyDescent="0.25">
      <c r="A399" s="41"/>
      <c r="B399" s="59" t="s">
        <v>103</v>
      </c>
      <c r="C399" s="41">
        <v>17.8</v>
      </c>
      <c r="D399" s="41">
        <v>138</v>
      </c>
      <c r="E399" s="41">
        <v>17.399999999999999</v>
      </c>
      <c r="F399" s="41">
        <v>140</v>
      </c>
      <c r="G399" s="92"/>
    </row>
    <row r="400" spans="1:7" ht="15" x14ac:dyDescent="0.25">
      <c r="A400" s="41" t="s">
        <v>385</v>
      </c>
      <c r="B400" s="59" t="s">
        <v>85</v>
      </c>
      <c r="C400" s="41">
        <v>18.8</v>
      </c>
      <c r="D400" s="41">
        <v>137</v>
      </c>
      <c r="E400" s="41">
        <v>19</v>
      </c>
      <c r="F400" s="41">
        <v>140</v>
      </c>
      <c r="G400" s="92"/>
    </row>
    <row r="401" spans="1:7" ht="15" x14ac:dyDescent="0.25">
      <c r="A401" s="41"/>
      <c r="B401" s="91" t="s">
        <v>102</v>
      </c>
      <c r="C401" s="41">
        <v>28.1</v>
      </c>
      <c r="D401" s="41">
        <v>140</v>
      </c>
      <c r="E401" s="41">
        <v>28.4</v>
      </c>
      <c r="F401" s="41">
        <v>142</v>
      </c>
      <c r="G401" s="92"/>
    </row>
    <row r="402" spans="1:7" ht="15" x14ac:dyDescent="0.25">
      <c r="A402" s="41"/>
      <c r="B402" s="59" t="s">
        <v>103</v>
      </c>
      <c r="C402" s="41">
        <v>22.1</v>
      </c>
      <c r="D402" s="41">
        <v>140</v>
      </c>
      <c r="E402" s="41">
        <v>22.5</v>
      </c>
      <c r="F402" s="41">
        <v>142</v>
      </c>
      <c r="G402" s="92"/>
    </row>
    <row r="403" spans="1:7" ht="15" x14ac:dyDescent="0.25">
      <c r="A403" s="41" t="s">
        <v>386</v>
      </c>
      <c r="B403" s="59" t="s">
        <v>85</v>
      </c>
      <c r="C403" s="41">
        <v>18.100000000000001</v>
      </c>
      <c r="D403" s="41">
        <v>139</v>
      </c>
      <c r="E403" s="41">
        <v>18.899999999999999</v>
      </c>
      <c r="F403" s="41">
        <v>138</v>
      </c>
      <c r="G403" s="92"/>
    </row>
    <row r="404" spans="1:7" ht="15" x14ac:dyDescent="0.25">
      <c r="A404" s="41"/>
      <c r="B404" s="59" t="s">
        <v>102</v>
      </c>
      <c r="C404" s="41">
        <v>18.100000000000001</v>
      </c>
      <c r="D404" s="41">
        <v>138</v>
      </c>
      <c r="E404" s="41">
        <v>18.8</v>
      </c>
      <c r="F404" s="41">
        <v>140</v>
      </c>
      <c r="G404" s="92"/>
    </row>
    <row r="405" spans="1:7" ht="15" x14ac:dyDescent="0.25">
      <c r="A405" s="41"/>
      <c r="B405" s="59" t="s">
        <v>103</v>
      </c>
      <c r="C405" s="41">
        <v>19</v>
      </c>
      <c r="D405" s="41">
        <v>140</v>
      </c>
      <c r="E405" s="41">
        <v>21.7</v>
      </c>
      <c r="F405" s="41">
        <v>144</v>
      </c>
      <c r="G405" s="92"/>
    </row>
    <row r="406" spans="1:7" ht="15" x14ac:dyDescent="0.25">
      <c r="A406" s="41" t="s">
        <v>387</v>
      </c>
      <c r="B406" s="59" t="s">
        <v>85</v>
      </c>
      <c r="C406" s="41">
        <v>17.100000000000001</v>
      </c>
      <c r="D406" s="41">
        <v>140</v>
      </c>
      <c r="E406" s="41">
        <v>17.2</v>
      </c>
      <c r="F406" s="41">
        <v>142</v>
      </c>
      <c r="G406" s="92"/>
    </row>
    <row r="407" spans="1:7" ht="15" x14ac:dyDescent="0.25">
      <c r="A407" s="41"/>
      <c r="B407" s="59" t="s">
        <v>102</v>
      </c>
      <c r="C407" s="41">
        <v>15</v>
      </c>
      <c r="D407" s="41">
        <v>140</v>
      </c>
      <c r="E407" s="41">
        <v>16.2</v>
      </c>
      <c r="F407" s="41">
        <v>142</v>
      </c>
      <c r="G407" s="92"/>
    </row>
    <row r="408" spans="1:7" ht="15" x14ac:dyDescent="0.25">
      <c r="A408" s="41"/>
      <c r="B408" s="59" t="s">
        <v>103</v>
      </c>
      <c r="C408" s="41">
        <v>18.100000000000001</v>
      </c>
      <c r="D408" s="41">
        <v>142</v>
      </c>
      <c r="E408" s="41">
        <v>18.899999999999999</v>
      </c>
      <c r="F408" s="41">
        <v>144</v>
      </c>
      <c r="G408" s="92"/>
    </row>
    <row r="409" spans="1:7" ht="15" x14ac:dyDescent="0.25">
      <c r="A409" s="41" t="s">
        <v>388</v>
      </c>
      <c r="B409" s="59" t="s">
        <v>85</v>
      </c>
      <c r="C409" s="41">
        <v>27.4</v>
      </c>
      <c r="D409" s="41">
        <v>140</v>
      </c>
      <c r="E409" s="41">
        <v>22.1</v>
      </c>
      <c r="F409" s="41">
        <v>142</v>
      </c>
      <c r="G409" s="92"/>
    </row>
    <row r="410" spans="1:7" ht="15" x14ac:dyDescent="0.25">
      <c r="A410" s="41"/>
      <c r="B410" s="59" t="s">
        <v>102</v>
      </c>
      <c r="C410" s="41">
        <v>16.2</v>
      </c>
      <c r="D410" s="41">
        <v>140</v>
      </c>
      <c r="E410" s="41">
        <v>16.600000000000001</v>
      </c>
      <c r="F410" s="41">
        <v>142</v>
      </c>
      <c r="G410" s="92"/>
    </row>
    <row r="411" spans="1:7" ht="15" x14ac:dyDescent="0.25">
      <c r="A411" s="41"/>
      <c r="B411" s="59" t="s">
        <v>103</v>
      </c>
      <c r="C411" s="41">
        <v>22.5</v>
      </c>
      <c r="D411" s="41">
        <v>146</v>
      </c>
      <c r="E411" s="41">
        <v>22.7</v>
      </c>
      <c r="F411" s="41">
        <v>146</v>
      </c>
      <c r="G411" s="92"/>
    </row>
    <row r="412" spans="1:7" ht="15" x14ac:dyDescent="0.25">
      <c r="A412" s="41" t="s">
        <v>389</v>
      </c>
      <c r="B412" s="59" t="s">
        <v>85</v>
      </c>
      <c r="C412" s="41">
        <v>14.9</v>
      </c>
      <c r="D412" s="41">
        <v>144</v>
      </c>
      <c r="E412" s="41">
        <v>18.600000000000001</v>
      </c>
      <c r="F412" s="41">
        <v>146</v>
      </c>
      <c r="G412" s="92"/>
    </row>
    <row r="413" spans="1:7" ht="15" x14ac:dyDescent="0.25">
      <c r="A413" s="41"/>
      <c r="B413" s="59" t="s">
        <v>102</v>
      </c>
      <c r="C413" s="41">
        <v>19.600000000000001</v>
      </c>
      <c r="D413" s="41">
        <v>142</v>
      </c>
      <c r="E413" s="41">
        <v>20.8</v>
      </c>
      <c r="F413" s="41">
        <v>146</v>
      </c>
      <c r="G413" s="92"/>
    </row>
    <row r="414" spans="1:7" ht="15" x14ac:dyDescent="0.25">
      <c r="A414" s="41"/>
      <c r="B414" s="59" t="s">
        <v>103</v>
      </c>
      <c r="C414" s="41">
        <v>20.399999999999999</v>
      </c>
      <c r="D414" s="41">
        <v>145</v>
      </c>
      <c r="E414" s="41">
        <v>21.2</v>
      </c>
      <c r="F414" s="41">
        <v>146</v>
      </c>
      <c r="G414" s="92"/>
    </row>
    <row r="415" spans="1:7" ht="15" x14ac:dyDescent="0.25">
      <c r="A415" s="41" t="s">
        <v>390</v>
      </c>
      <c r="B415" s="59" t="s">
        <v>85</v>
      </c>
      <c r="C415" s="55">
        <v>14.9</v>
      </c>
      <c r="D415" s="41">
        <v>140</v>
      </c>
      <c r="E415" s="41">
        <v>16</v>
      </c>
      <c r="F415" s="41">
        <v>142</v>
      </c>
      <c r="G415" s="92"/>
    </row>
    <row r="416" spans="1:7" ht="15" x14ac:dyDescent="0.25">
      <c r="A416" s="41"/>
      <c r="B416" s="59" t="s">
        <v>102</v>
      </c>
      <c r="C416" s="55">
        <v>17.8</v>
      </c>
      <c r="D416" s="41">
        <v>140</v>
      </c>
      <c r="E416" s="41">
        <v>17.399999999999999</v>
      </c>
      <c r="F416" s="41">
        <v>144</v>
      </c>
      <c r="G416" s="92"/>
    </row>
    <row r="417" spans="1:7" ht="15" x14ac:dyDescent="0.25">
      <c r="A417" s="41"/>
      <c r="B417" s="59" t="s">
        <v>103</v>
      </c>
      <c r="C417" s="55">
        <v>16.600000000000001</v>
      </c>
      <c r="D417" s="41">
        <v>140</v>
      </c>
      <c r="E417" s="41">
        <v>17.2</v>
      </c>
      <c r="F417" s="41">
        <v>142</v>
      </c>
      <c r="G417" s="92"/>
    </row>
    <row r="418" spans="1:7" ht="15" x14ac:dyDescent="0.25">
      <c r="A418" s="41" t="s">
        <v>391</v>
      </c>
      <c r="B418" s="59" t="s">
        <v>85</v>
      </c>
      <c r="C418" s="41">
        <v>23.4</v>
      </c>
      <c r="D418" s="41">
        <v>144</v>
      </c>
      <c r="E418" s="41">
        <v>27.7</v>
      </c>
      <c r="F418" s="41">
        <v>146</v>
      </c>
      <c r="G418" s="92"/>
    </row>
    <row r="419" spans="1:7" ht="15" x14ac:dyDescent="0.25">
      <c r="A419" s="41"/>
      <c r="B419" s="59" t="s">
        <v>102</v>
      </c>
      <c r="C419" s="41">
        <v>22.1</v>
      </c>
      <c r="D419" s="41">
        <v>144</v>
      </c>
      <c r="E419" s="41">
        <v>23.5</v>
      </c>
      <c r="F419" s="41">
        <v>146</v>
      </c>
      <c r="G419" s="92"/>
    </row>
    <row r="420" spans="1:7" ht="15" x14ac:dyDescent="0.25">
      <c r="A420" s="41"/>
      <c r="B420" s="59" t="s">
        <v>103</v>
      </c>
      <c r="C420" s="41">
        <v>19</v>
      </c>
      <c r="D420" s="41">
        <v>140</v>
      </c>
      <c r="E420" s="41">
        <v>21.7</v>
      </c>
      <c r="F420" s="41">
        <v>142</v>
      </c>
      <c r="G420" s="92"/>
    </row>
    <row r="421" spans="1:7" ht="15" x14ac:dyDescent="0.25">
      <c r="A421" s="41" t="s">
        <v>392</v>
      </c>
      <c r="B421" s="59" t="s">
        <v>85</v>
      </c>
      <c r="C421" s="41">
        <v>24.6</v>
      </c>
      <c r="D421" s="41">
        <v>142</v>
      </c>
      <c r="E421" s="41">
        <v>22.7</v>
      </c>
      <c r="F421" s="41">
        <v>144</v>
      </c>
      <c r="G421" s="92"/>
    </row>
    <row r="422" spans="1:7" ht="15" x14ac:dyDescent="0.25">
      <c r="A422" s="41"/>
      <c r="B422" s="59" t="s">
        <v>102</v>
      </c>
      <c r="C422" s="41">
        <v>25.1</v>
      </c>
      <c r="D422" s="41">
        <v>143</v>
      </c>
      <c r="E422" s="41">
        <v>25.9</v>
      </c>
      <c r="F422" s="41">
        <v>146</v>
      </c>
      <c r="G422" s="92"/>
    </row>
    <row r="423" spans="1:7" ht="15" x14ac:dyDescent="0.25">
      <c r="A423" s="41"/>
      <c r="B423" s="59" t="s">
        <v>103</v>
      </c>
      <c r="C423" s="55">
        <v>25.1</v>
      </c>
      <c r="D423" s="55">
        <v>143</v>
      </c>
      <c r="E423" s="55">
        <v>25.9</v>
      </c>
      <c r="F423" s="55">
        <v>146</v>
      </c>
      <c r="G423" s="92"/>
    </row>
    <row r="424" spans="1:7" ht="15" x14ac:dyDescent="0.25">
      <c r="A424" s="59" t="s">
        <v>393</v>
      </c>
      <c r="B424" s="59" t="s">
        <v>85</v>
      </c>
      <c r="C424" s="55">
        <v>23.8</v>
      </c>
      <c r="D424" s="55">
        <v>140</v>
      </c>
      <c r="E424" s="55">
        <v>22.5</v>
      </c>
      <c r="F424" s="55">
        <v>142</v>
      </c>
      <c r="G424" s="92"/>
    </row>
    <row r="425" spans="1:7" ht="15" x14ac:dyDescent="0.25">
      <c r="A425" s="59"/>
      <c r="B425" s="59" t="s">
        <v>102</v>
      </c>
      <c r="C425" s="55">
        <v>22.2</v>
      </c>
      <c r="D425" s="55">
        <v>143</v>
      </c>
      <c r="E425" s="55">
        <v>23.4</v>
      </c>
      <c r="F425" s="55">
        <v>145</v>
      </c>
      <c r="G425" s="92"/>
    </row>
    <row r="426" spans="1:7" ht="15" x14ac:dyDescent="0.25">
      <c r="A426" s="59"/>
      <c r="B426" s="59" t="s">
        <v>103</v>
      </c>
      <c r="C426" s="55">
        <v>22.7</v>
      </c>
      <c r="D426" s="55">
        <v>142</v>
      </c>
      <c r="E426" s="55">
        <v>23.6</v>
      </c>
      <c r="F426" s="55">
        <v>144</v>
      </c>
      <c r="G426" s="92"/>
    </row>
    <row r="427" spans="1:7" ht="15" x14ac:dyDescent="0.25">
      <c r="A427" s="59" t="s">
        <v>394</v>
      </c>
      <c r="B427" s="59" t="s">
        <v>85</v>
      </c>
      <c r="C427" s="55">
        <v>25.8</v>
      </c>
      <c r="D427" s="55">
        <v>142</v>
      </c>
      <c r="E427" s="55">
        <v>27.8</v>
      </c>
      <c r="F427" s="55">
        <v>146</v>
      </c>
      <c r="G427" s="92"/>
    </row>
    <row r="428" spans="1:7" ht="15" x14ac:dyDescent="0.25">
      <c r="A428" s="59"/>
      <c r="B428" s="59" t="s">
        <v>102</v>
      </c>
      <c r="C428" s="55">
        <v>16.7</v>
      </c>
      <c r="D428" s="55">
        <v>142</v>
      </c>
      <c r="E428" s="55">
        <v>15.4</v>
      </c>
      <c r="F428" s="55">
        <v>144</v>
      </c>
      <c r="G428" s="92"/>
    </row>
    <row r="429" spans="1:7" ht="15" x14ac:dyDescent="0.25">
      <c r="A429" s="59"/>
      <c r="B429" s="59" t="s">
        <v>103</v>
      </c>
      <c r="C429" s="55">
        <v>17.8</v>
      </c>
      <c r="D429" s="55">
        <v>138</v>
      </c>
      <c r="E429" s="55">
        <v>19.100000000000001</v>
      </c>
      <c r="F429" s="55">
        <v>144</v>
      </c>
      <c r="G429" s="92"/>
    </row>
    <row r="430" spans="1:7" ht="15" x14ac:dyDescent="0.25">
      <c r="A430" s="59" t="s">
        <v>395</v>
      </c>
      <c r="B430" s="59" t="s">
        <v>85</v>
      </c>
      <c r="C430" s="55">
        <v>16</v>
      </c>
      <c r="D430" s="55">
        <v>138</v>
      </c>
      <c r="E430" s="55">
        <v>24</v>
      </c>
      <c r="F430" s="55">
        <v>142</v>
      </c>
      <c r="G430" s="92"/>
    </row>
    <row r="431" spans="1:7" ht="15" x14ac:dyDescent="0.25">
      <c r="A431" s="59"/>
      <c r="B431" s="59" t="s">
        <v>102</v>
      </c>
      <c r="C431" s="55">
        <v>18.399999999999999</v>
      </c>
      <c r="D431" s="55">
        <v>138</v>
      </c>
      <c r="E431" s="55">
        <v>22.3</v>
      </c>
      <c r="F431" s="55">
        <v>142</v>
      </c>
      <c r="G431" s="92"/>
    </row>
    <row r="432" spans="1:7" ht="15" x14ac:dyDescent="0.25">
      <c r="A432" s="59"/>
      <c r="B432" s="59" t="s">
        <v>103</v>
      </c>
      <c r="C432" s="55">
        <v>18.600000000000001</v>
      </c>
      <c r="D432" s="55">
        <v>138</v>
      </c>
      <c r="E432" s="55">
        <v>20.8</v>
      </c>
      <c r="F432" s="55">
        <v>140</v>
      </c>
      <c r="G432" s="92"/>
    </row>
    <row r="433" spans="1:7" ht="15" x14ac:dyDescent="0.25">
      <c r="A433" s="59" t="s">
        <v>396</v>
      </c>
      <c r="B433" s="59" t="s">
        <v>85</v>
      </c>
      <c r="C433" s="55">
        <v>20.7</v>
      </c>
      <c r="D433" s="55">
        <v>138</v>
      </c>
      <c r="E433" s="55">
        <v>20.7</v>
      </c>
      <c r="F433" s="55">
        <v>140</v>
      </c>
      <c r="G433" s="92"/>
    </row>
    <row r="434" spans="1:7" ht="15" x14ac:dyDescent="0.25">
      <c r="A434" s="59"/>
      <c r="B434" s="59" t="s">
        <v>102</v>
      </c>
      <c r="C434" s="55">
        <v>21.8</v>
      </c>
      <c r="D434" s="55">
        <v>140</v>
      </c>
      <c r="E434" s="55">
        <v>23.9</v>
      </c>
      <c r="F434" s="55">
        <v>142</v>
      </c>
      <c r="G434" s="92"/>
    </row>
    <row r="435" spans="1:7" ht="15" x14ac:dyDescent="0.25">
      <c r="A435" s="59"/>
      <c r="B435" s="59" t="s">
        <v>103</v>
      </c>
      <c r="C435" s="55">
        <v>18.8</v>
      </c>
      <c r="D435" s="55">
        <v>138</v>
      </c>
      <c r="E435" s="55">
        <v>19</v>
      </c>
      <c r="F435" s="55">
        <v>140</v>
      </c>
      <c r="G435" s="92"/>
    </row>
    <row r="436" spans="1:7" ht="15" x14ac:dyDescent="0.25">
      <c r="A436" s="59" t="s">
        <v>397</v>
      </c>
      <c r="B436" s="59" t="s">
        <v>85</v>
      </c>
      <c r="C436" s="55">
        <v>21</v>
      </c>
      <c r="D436" s="55">
        <v>140</v>
      </c>
      <c r="E436" s="55">
        <v>16.899999999999999</v>
      </c>
      <c r="F436" s="55">
        <v>142</v>
      </c>
      <c r="G436" s="92"/>
    </row>
    <row r="437" spans="1:7" ht="15" x14ac:dyDescent="0.25">
      <c r="A437" s="59"/>
      <c r="B437" s="59" t="s">
        <v>102</v>
      </c>
      <c r="C437" s="55">
        <v>24.6</v>
      </c>
      <c r="D437" s="55">
        <v>142</v>
      </c>
      <c r="E437" s="55">
        <v>25.3</v>
      </c>
      <c r="F437" s="55">
        <v>144</v>
      </c>
      <c r="G437" s="92"/>
    </row>
    <row r="438" spans="1:7" ht="15" x14ac:dyDescent="0.25">
      <c r="A438" s="59"/>
      <c r="B438" s="59" t="s">
        <v>103</v>
      </c>
      <c r="C438" s="55">
        <v>20.8</v>
      </c>
      <c r="D438" s="55">
        <v>150</v>
      </c>
      <c r="E438" s="55">
        <v>21.7</v>
      </c>
      <c r="F438" s="55">
        <v>140</v>
      </c>
      <c r="G438" s="92"/>
    </row>
    <row r="439" spans="1:7" ht="15" x14ac:dyDescent="0.25">
      <c r="A439" s="59" t="s">
        <v>402</v>
      </c>
      <c r="B439" s="59" t="s">
        <v>85</v>
      </c>
      <c r="C439" s="55">
        <v>16.7</v>
      </c>
      <c r="D439" s="55">
        <v>144</v>
      </c>
      <c r="E439" s="55">
        <v>22.6</v>
      </c>
      <c r="F439" s="55">
        <v>146</v>
      </c>
      <c r="G439" s="92"/>
    </row>
    <row r="440" spans="1:7" ht="15" x14ac:dyDescent="0.25">
      <c r="A440" s="59"/>
      <c r="B440" s="59" t="s">
        <v>102</v>
      </c>
      <c r="C440" s="55">
        <v>21.1</v>
      </c>
      <c r="D440" s="55">
        <v>146</v>
      </c>
      <c r="E440" s="55">
        <v>26.7</v>
      </c>
      <c r="F440" s="55">
        <v>148</v>
      </c>
      <c r="G440" s="92"/>
    </row>
    <row r="441" spans="1:7" ht="15" x14ac:dyDescent="0.25">
      <c r="A441" s="59"/>
      <c r="B441" s="59" t="s">
        <v>103</v>
      </c>
      <c r="C441" s="55">
        <v>22.6</v>
      </c>
      <c r="D441" s="55">
        <v>142</v>
      </c>
      <c r="E441" s="55">
        <v>25.3</v>
      </c>
      <c r="F441" s="55">
        <v>146</v>
      </c>
      <c r="G441" s="92"/>
    </row>
    <row r="442" spans="1:7" ht="15" x14ac:dyDescent="0.25">
      <c r="A442" s="59" t="s">
        <v>405</v>
      </c>
      <c r="B442" s="59" t="s">
        <v>85</v>
      </c>
      <c r="C442" s="55">
        <v>24.7</v>
      </c>
      <c r="D442" s="55">
        <v>144</v>
      </c>
      <c r="E442" s="55">
        <v>24.8</v>
      </c>
      <c r="F442" s="55">
        <v>146</v>
      </c>
      <c r="G442" s="92"/>
    </row>
    <row r="443" spans="1:7" ht="15" x14ac:dyDescent="0.25">
      <c r="A443" s="59"/>
      <c r="B443" s="59" t="s">
        <v>102</v>
      </c>
      <c r="C443" s="55">
        <v>22.9</v>
      </c>
      <c r="D443" s="55">
        <v>144</v>
      </c>
      <c r="E443" s="55">
        <v>23.5</v>
      </c>
      <c r="F443" s="55">
        <v>146</v>
      </c>
      <c r="G443" s="92"/>
    </row>
    <row r="444" spans="1:7" ht="15" x14ac:dyDescent="0.25">
      <c r="A444" s="59"/>
      <c r="B444" s="59" t="s">
        <v>103</v>
      </c>
      <c r="C444" s="55">
        <v>23.4</v>
      </c>
      <c r="D444" s="55">
        <v>148</v>
      </c>
      <c r="E444" s="55">
        <v>24.6</v>
      </c>
      <c r="F444" s="55">
        <v>142</v>
      </c>
      <c r="G444" s="92"/>
    </row>
    <row r="445" spans="1:7" ht="15" x14ac:dyDescent="0.25">
      <c r="A445" s="59" t="s">
        <v>406</v>
      </c>
      <c r="B445" s="59" t="s">
        <v>85</v>
      </c>
      <c r="C445" s="55">
        <v>26.4</v>
      </c>
      <c r="D445" s="55">
        <v>149</v>
      </c>
      <c r="E445" s="55">
        <v>29.8</v>
      </c>
      <c r="F445" s="55">
        <v>148</v>
      </c>
      <c r="G445" s="92"/>
    </row>
    <row r="446" spans="1:7" ht="15" x14ac:dyDescent="0.25">
      <c r="A446" s="41"/>
      <c r="B446" s="59" t="s">
        <v>102</v>
      </c>
      <c r="C446" s="55">
        <v>17.2</v>
      </c>
      <c r="D446" s="55">
        <v>146</v>
      </c>
      <c r="E446" s="55">
        <v>20.100000000000001</v>
      </c>
      <c r="F446" s="55">
        <v>148</v>
      </c>
      <c r="G446" s="92"/>
    </row>
    <row r="447" spans="1:7" ht="15" x14ac:dyDescent="0.25">
      <c r="A447" s="41"/>
      <c r="B447" s="59" t="s">
        <v>103</v>
      </c>
      <c r="C447" s="55">
        <v>17</v>
      </c>
      <c r="D447" s="55">
        <v>140</v>
      </c>
      <c r="E447" s="55">
        <v>18</v>
      </c>
      <c r="F447" s="55">
        <v>142</v>
      </c>
      <c r="G447" s="92"/>
    </row>
    <row r="448" spans="1:7" ht="15" x14ac:dyDescent="0.25">
      <c r="A448" s="41" t="s">
        <v>407</v>
      </c>
      <c r="B448" s="59" t="s">
        <v>85</v>
      </c>
      <c r="C448" s="55">
        <v>20.399999999999999</v>
      </c>
      <c r="D448" s="55">
        <v>142</v>
      </c>
      <c r="E448" s="55">
        <v>22.6</v>
      </c>
      <c r="F448" s="55">
        <v>144</v>
      </c>
      <c r="G448" s="92"/>
    </row>
    <row r="449" spans="1:7" ht="15" x14ac:dyDescent="0.25">
      <c r="A449" s="41"/>
      <c r="B449" s="59" t="s">
        <v>102</v>
      </c>
      <c r="C449" s="55">
        <v>21</v>
      </c>
      <c r="D449" s="55">
        <v>142</v>
      </c>
      <c r="E449" s="55">
        <v>21.6</v>
      </c>
      <c r="F449" s="55">
        <v>144</v>
      </c>
      <c r="G449" s="92"/>
    </row>
    <row r="450" spans="1:7" ht="15" x14ac:dyDescent="0.25">
      <c r="A450" s="41"/>
      <c r="B450" s="59" t="s">
        <v>103</v>
      </c>
      <c r="C450" s="55">
        <v>22.4</v>
      </c>
      <c r="D450" s="55">
        <v>146</v>
      </c>
      <c r="E450" s="55">
        <v>23.5</v>
      </c>
      <c r="F450" s="55">
        <v>148</v>
      </c>
      <c r="G450" s="92"/>
    </row>
    <row r="451" spans="1:7" ht="15" x14ac:dyDescent="0.25">
      <c r="A451" s="41" t="s">
        <v>408</v>
      </c>
      <c r="B451" s="59" t="s">
        <v>85</v>
      </c>
      <c r="C451" s="55">
        <v>26.3</v>
      </c>
      <c r="D451" s="55">
        <v>142</v>
      </c>
      <c r="E451" s="55">
        <v>24.5</v>
      </c>
      <c r="F451" s="55">
        <v>146</v>
      </c>
      <c r="G451" s="92"/>
    </row>
    <row r="452" spans="1:7" ht="15" x14ac:dyDescent="0.25">
      <c r="A452" s="41"/>
      <c r="B452" s="59" t="s">
        <v>102</v>
      </c>
      <c r="C452" s="55">
        <v>21.1</v>
      </c>
      <c r="D452" s="55">
        <v>142</v>
      </c>
      <c r="E452" s="55">
        <v>22.2</v>
      </c>
      <c r="F452" s="55">
        <v>144</v>
      </c>
      <c r="G452" s="92"/>
    </row>
    <row r="453" spans="1:7" ht="15" x14ac:dyDescent="0.25">
      <c r="A453" s="41"/>
      <c r="B453" s="59" t="s">
        <v>103</v>
      </c>
      <c r="C453" s="41">
        <v>18.2</v>
      </c>
      <c r="D453" s="41">
        <v>138</v>
      </c>
      <c r="E453" s="41">
        <v>19.100000000000001</v>
      </c>
      <c r="F453" s="41">
        <v>140</v>
      </c>
      <c r="G453" s="92"/>
    </row>
    <row r="454" spans="1:7" ht="15" x14ac:dyDescent="0.25">
      <c r="A454" s="41" t="s">
        <v>409</v>
      </c>
      <c r="B454" s="59" t="s">
        <v>85</v>
      </c>
      <c r="C454" s="41">
        <v>19.899999999999999</v>
      </c>
      <c r="D454" s="41">
        <v>140</v>
      </c>
      <c r="E454" s="41">
        <v>27.9</v>
      </c>
      <c r="F454" s="41">
        <v>142</v>
      </c>
      <c r="G454" s="92"/>
    </row>
    <row r="455" spans="1:7" ht="15" x14ac:dyDescent="0.25">
      <c r="A455" s="41"/>
      <c r="B455" s="59" t="s">
        <v>102</v>
      </c>
      <c r="C455" s="41">
        <v>24.9</v>
      </c>
      <c r="D455" s="41">
        <v>140</v>
      </c>
      <c r="E455" s="41">
        <v>25.3</v>
      </c>
      <c r="F455" s="41">
        <v>142</v>
      </c>
      <c r="G455" s="92"/>
    </row>
    <row r="456" spans="1:7" ht="15" x14ac:dyDescent="0.25">
      <c r="A456" s="41"/>
      <c r="B456" s="59" t="s">
        <v>103</v>
      </c>
      <c r="C456" s="41">
        <v>23.3</v>
      </c>
      <c r="D456" s="41">
        <v>140</v>
      </c>
      <c r="E456" s="41">
        <v>24.5</v>
      </c>
      <c r="F456" s="41">
        <v>135</v>
      </c>
      <c r="G456" s="92"/>
    </row>
    <row r="457" spans="1:7" ht="15" x14ac:dyDescent="0.25">
      <c r="A457" s="41" t="s">
        <v>410</v>
      </c>
      <c r="B457" s="59" t="s">
        <v>85</v>
      </c>
      <c r="C457" s="41">
        <v>14.1</v>
      </c>
      <c r="D457" s="41">
        <v>146</v>
      </c>
      <c r="E457" s="41">
        <v>21.6</v>
      </c>
      <c r="F457" s="41">
        <v>148</v>
      </c>
      <c r="G457" s="92"/>
    </row>
    <row r="458" spans="1:7" ht="15" x14ac:dyDescent="0.25">
      <c r="A458" s="41"/>
      <c r="B458" s="59" t="s">
        <v>102</v>
      </c>
      <c r="C458" s="41">
        <v>21.7</v>
      </c>
      <c r="D458" s="41">
        <v>148</v>
      </c>
      <c r="E458" s="41">
        <v>22</v>
      </c>
      <c r="F458" s="41">
        <v>144</v>
      </c>
      <c r="G458" s="92"/>
    </row>
    <row r="459" spans="1:7" ht="15" x14ac:dyDescent="0.25">
      <c r="A459" s="41"/>
      <c r="B459" s="59" t="s">
        <v>103</v>
      </c>
      <c r="C459" s="41">
        <v>19.7</v>
      </c>
      <c r="D459" s="41">
        <v>142</v>
      </c>
      <c r="E459" s="41">
        <v>20.5</v>
      </c>
      <c r="F459" s="41">
        <v>142</v>
      </c>
    </row>
    <row r="460" spans="1:7" ht="15" x14ac:dyDescent="0.25">
      <c r="A460" s="41" t="s">
        <v>411</v>
      </c>
      <c r="B460" s="59" t="s">
        <v>85</v>
      </c>
      <c r="C460" s="41">
        <v>17.399999999999999</v>
      </c>
      <c r="D460" s="41">
        <v>144</v>
      </c>
      <c r="E460" s="41">
        <v>22.6</v>
      </c>
      <c r="F460" s="41">
        <v>146</v>
      </c>
    </row>
    <row r="461" spans="1:7" ht="15" x14ac:dyDescent="0.25">
      <c r="A461" s="41"/>
      <c r="B461" s="59" t="s">
        <v>102</v>
      </c>
      <c r="C461" s="41">
        <v>15.2</v>
      </c>
      <c r="D461" s="41">
        <v>142</v>
      </c>
      <c r="E461" s="41">
        <v>17.899999999999999</v>
      </c>
      <c r="F461" s="41">
        <v>144</v>
      </c>
    </row>
    <row r="462" spans="1:7" ht="15" x14ac:dyDescent="0.25">
      <c r="A462" s="41"/>
      <c r="B462" s="59" t="s">
        <v>103</v>
      </c>
      <c r="C462" s="41">
        <v>18.5</v>
      </c>
      <c r="D462" s="41">
        <v>142</v>
      </c>
      <c r="E462" s="41">
        <v>18.7</v>
      </c>
      <c r="F462" s="41">
        <v>142</v>
      </c>
    </row>
    <row r="463" spans="1:7" ht="15" x14ac:dyDescent="0.25">
      <c r="A463" s="41" t="s">
        <v>413</v>
      </c>
      <c r="B463" s="59" t="s">
        <v>85</v>
      </c>
      <c r="C463" s="41">
        <v>16.100000000000001</v>
      </c>
      <c r="D463" s="41">
        <v>144</v>
      </c>
      <c r="E463" s="41">
        <v>21.3</v>
      </c>
      <c r="F463" s="41">
        <v>146</v>
      </c>
    </row>
    <row r="464" spans="1:7" ht="15" x14ac:dyDescent="0.25">
      <c r="A464" s="41"/>
      <c r="B464" s="59" t="s">
        <v>102</v>
      </c>
      <c r="C464" s="41">
        <v>20.6</v>
      </c>
      <c r="D464" s="41">
        <v>144</v>
      </c>
      <c r="E464" s="41">
        <v>21.5</v>
      </c>
      <c r="F464" s="41">
        <v>146</v>
      </c>
    </row>
    <row r="465" spans="1:6" ht="15" x14ac:dyDescent="0.25">
      <c r="A465" s="41"/>
      <c r="B465" s="59" t="s">
        <v>103</v>
      </c>
      <c r="C465" s="41">
        <v>22.5</v>
      </c>
      <c r="D465" s="41">
        <v>142</v>
      </c>
      <c r="E465" s="41">
        <v>23.8</v>
      </c>
      <c r="F465" s="41">
        <v>144</v>
      </c>
    </row>
    <row r="466" spans="1:6" ht="15" x14ac:dyDescent="0.25">
      <c r="A466" s="41" t="s">
        <v>414</v>
      </c>
      <c r="B466" s="59" t="s">
        <v>85</v>
      </c>
      <c r="C466" s="41">
        <v>16.8</v>
      </c>
      <c r="D466" s="41">
        <v>146</v>
      </c>
      <c r="E466" s="41">
        <v>20.9</v>
      </c>
      <c r="F466" s="41">
        <v>148</v>
      </c>
    </row>
    <row r="467" spans="1:6" ht="15" x14ac:dyDescent="0.25">
      <c r="A467" s="41"/>
      <c r="B467" s="59" t="s">
        <v>102</v>
      </c>
      <c r="C467" s="41">
        <v>20</v>
      </c>
      <c r="D467" s="41">
        <v>150</v>
      </c>
      <c r="E467" s="41">
        <v>21.5</v>
      </c>
      <c r="F467" s="41">
        <v>145</v>
      </c>
    </row>
    <row r="468" spans="1:6" ht="15" x14ac:dyDescent="0.25">
      <c r="A468" s="41"/>
      <c r="B468" s="59" t="s">
        <v>103</v>
      </c>
      <c r="C468" s="41">
        <v>16.899999999999999</v>
      </c>
      <c r="D468" s="41">
        <v>148</v>
      </c>
      <c r="E468" s="41">
        <v>18.8</v>
      </c>
      <c r="F468" s="41">
        <v>146</v>
      </c>
    </row>
    <row r="469" spans="1:6" ht="15" x14ac:dyDescent="0.25">
      <c r="A469" s="41" t="s">
        <v>415</v>
      </c>
      <c r="B469" s="59" t="s">
        <v>85</v>
      </c>
      <c r="C469" s="41">
        <v>19.899999999999999</v>
      </c>
      <c r="D469" s="41">
        <v>148</v>
      </c>
      <c r="E469" s="41">
        <v>24.4</v>
      </c>
      <c r="F469" s="41">
        <v>150</v>
      </c>
    </row>
    <row r="470" spans="1:6" ht="15" x14ac:dyDescent="0.25">
      <c r="A470" s="41"/>
      <c r="B470" s="59" t="s">
        <v>102</v>
      </c>
      <c r="C470" s="41">
        <v>23</v>
      </c>
      <c r="D470" s="41">
        <v>146</v>
      </c>
      <c r="E470" s="41">
        <v>29.1</v>
      </c>
      <c r="F470" s="41">
        <v>148</v>
      </c>
    </row>
    <row r="471" spans="1:6" ht="15" x14ac:dyDescent="0.25">
      <c r="A471" s="41"/>
      <c r="B471" s="59" t="s">
        <v>103</v>
      </c>
      <c r="C471" s="41">
        <v>22.5</v>
      </c>
      <c r="D471" s="41">
        <v>145</v>
      </c>
      <c r="E471" s="41">
        <v>23.5</v>
      </c>
      <c r="F471" s="41">
        <v>150</v>
      </c>
    </row>
    <row r="472" spans="1:6" ht="15" x14ac:dyDescent="0.25">
      <c r="A472" s="41" t="s">
        <v>416</v>
      </c>
      <c r="B472" s="59" t="s">
        <v>85</v>
      </c>
      <c r="C472" s="41">
        <v>35.6</v>
      </c>
      <c r="D472" s="41">
        <v>146</v>
      </c>
      <c r="E472" s="41">
        <v>33.9</v>
      </c>
      <c r="F472" s="41">
        <v>148</v>
      </c>
    </row>
    <row r="473" spans="1:6" ht="15" x14ac:dyDescent="0.25">
      <c r="A473" s="41"/>
      <c r="B473" s="59" t="s">
        <v>102</v>
      </c>
      <c r="C473" s="41">
        <v>25.7</v>
      </c>
      <c r="D473" s="41">
        <v>146</v>
      </c>
      <c r="E473" s="41">
        <v>29.2</v>
      </c>
      <c r="F473" s="41">
        <v>147</v>
      </c>
    </row>
    <row r="474" spans="1:6" ht="15" x14ac:dyDescent="0.25">
      <c r="A474" s="41"/>
      <c r="B474" s="59" t="s">
        <v>103</v>
      </c>
      <c r="C474" s="41">
        <v>24</v>
      </c>
      <c r="D474" s="41">
        <v>146</v>
      </c>
      <c r="E474" s="41">
        <v>25.8</v>
      </c>
      <c r="F474" s="41">
        <v>148</v>
      </c>
    </row>
    <row r="475" spans="1:6" ht="15" x14ac:dyDescent="0.25">
      <c r="A475" s="41" t="s">
        <v>417</v>
      </c>
      <c r="B475" s="59" t="s">
        <v>85</v>
      </c>
      <c r="C475" s="41">
        <v>24.3</v>
      </c>
      <c r="D475" s="41">
        <v>146</v>
      </c>
      <c r="E475" s="41">
        <v>15.8</v>
      </c>
      <c r="F475" s="41">
        <v>148</v>
      </c>
    </row>
    <row r="476" spans="1:6" ht="15" x14ac:dyDescent="0.25">
      <c r="A476" s="41"/>
      <c r="B476" s="59" t="s">
        <v>102</v>
      </c>
      <c r="C476" s="41">
        <v>28.8</v>
      </c>
      <c r="D476" s="41">
        <v>144</v>
      </c>
      <c r="E476" s="41">
        <v>22.3</v>
      </c>
      <c r="F476" s="41">
        <v>148</v>
      </c>
    </row>
    <row r="477" spans="1:6" ht="15" x14ac:dyDescent="0.25">
      <c r="A477" s="41"/>
      <c r="B477" s="59" t="s">
        <v>103</v>
      </c>
      <c r="C477" s="41">
        <v>19.100000000000001</v>
      </c>
      <c r="D477" s="41">
        <v>140</v>
      </c>
      <c r="E477" s="41">
        <v>20.8</v>
      </c>
      <c r="F477" s="41">
        <v>144</v>
      </c>
    </row>
    <row r="478" spans="1:6" ht="15" x14ac:dyDescent="0.25">
      <c r="A478" s="41" t="s">
        <v>419</v>
      </c>
      <c r="B478" s="59" t="s">
        <v>85</v>
      </c>
      <c r="C478" s="41">
        <v>22.1</v>
      </c>
      <c r="D478" s="41">
        <v>144</v>
      </c>
      <c r="E478" s="41">
        <v>26.5</v>
      </c>
      <c r="F478" s="41">
        <v>146</v>
      </c>
    </row>
    <row r="479" spans="1:6" ht="15" x14ac:dyDescent="0.25">
      <c r="A479" s="41"/>
      <c r="B479" s="59" t="s">
        <v>102</v>
      </c>
      <c r="C479" s="41">
        <v>22</v>
      </c>
      <c r="D479" s="41">
        <v>143</v>
      </c>
      <c r="E479" s="41">
        <v>20.6</v>
      </c>
      <c r="F479" s="41">
        <v>146</v>
      </c>
    </row>
    <row r="480" spans="1:6" ht="15" x14ac:dyDescent="0.25">
      <c r="A480" s="41"/>
      <c r="B480" s="59" t="s">
        <v>103</v>
      </c>
      <c r="C480" s="41">
        <v>21.1</v>
      </c>
      <c r="D480" s="41">
        <v>140</v>
      </c>
      <c r="E480" s="41">
        <v>22</v>
      </c>
      <c r="F480" s="41">
        <v>144</v>
      </c>
    </row>
    <row r="481" spans="1:6" ht="15" x14ac:dyDescent="0.25">
      <c r="A481" s="41" t="s">
        <v>420</v>
      </c>
      <c r="B481" s="59" t="s">
        <v>85</v>
      </c>
      <c r="C481" s="41">
        <v>21.4</v>
      </c>
      <c r="D481" s="41">
        <v>148</v>
      </c>
      <c r="E481" s="41">
        <v>32.299999999999997</v>
      </c>
      <c r="F481" s="41">
        <v>148</v>
      </c>
    </row>
    <row r="482" spans="1:6" ht="15" x14ac:dyDescent="0.25">
      <c r="A482" s="41"/>
      <c r="B482" s="59" t="s">
        <v>102</v>
      </c>
      <c r="C482" s="41">
        <v>20.7</v>
      </c>
      <c r="D482" s="41">
        <v>144</v>
      </c>
      <c r="E482" s="41">
        <v>22.7</v>
      </c>
      <c r="F482" s="41">
        <v>146</v>
      </c>
    </row>
    <row r="483" spans="1:6" ht="15" x14ac:dyDescent="0.25">
      <c r="A483" s="41"/>
      <c r="B483" s="59" t="s">
        <v>103</v>
      </c>
      <c r="C483" s="41">
        <v>19.5</v>
      </c>
      <c r="D483" s="41">
        <v>144</v>
      </c>
      <c r="E483" s="41">
        <v>20.9</v>
      </c>
      <c r="F483" s="41">
        <v>144</v>
      </c>
    </row>
    <row r="484" spans="1:6" ht="15" x14ac:dyDescent="0.25">
      <c r="A484" s="41" t="s">
        <v>421</v>
      </c>
      <c r="B484" s="59" t="s">
        <v>85</v>
      </c>
      <c r="C484" s="41">
        <v>19.600000000000001</v>
      </c>
      <c r="D484" s="41">
        <v>144</v>
      </c>
      <c r="E484" s="41">
        <v>22.7</v>
      </c>
      <c r="F484" s="41">
        <v>146</v>
      </c>
    </row>
    <row r="485" spans="1:6" ht="15" x14ac:dyDescent="0.25">
      <c r="A485" s="41"/>
      <c r="B485" s="59" t="s">
        <v>102</v>
      </c>
      <c r="C485" s="41">
        <v>18.600000000000001</v>
      </c>
      <c r="D485" s="41">
        <v>142</v>
      </c>
      <c r="E485" s="41">
        <v>24</v>
      </c>
      <c r="F485" s="41">
        <v>144</v>
      </c>
    </row>
    <row r="486" spans="1:6" ht="15" x14ac:dyDescent="0.25">
      <c r="A486" s="41"/>
      <c r="B486" s="59" t="s">
        <v>103</v>
      </c>
      <c r="C486" s="41">
        <v>20.2</v>
      </c>
      <c r="D486" s="41">
        <v>146</v>
      </c>
      <c r="E486" s="41">
        <v>21.6</v>
      </c>
      <c r="F486" s="41">
        <v>142</v>
      </c>
    </row>
    <row r="487" spans="1:6" ht="15" x14ac:dyDescent="0.25">
      <c r="A487" s="41" t="s">
        <v>422</v>
      </c>
      <c r="B487" s="59" t="s">
        <v>85</v>
      </c>
      <c r="C487" s="41">
        <v>21.2</v>
      </c>
      <c r="D487" s="41">
        <v>142</v>
      </c>
      <c r="E487" s="41">
        <v>21.8</v>
      </c>
      <c r="F487" s="41">
        <v>140</v>
      </c>
    </row>
    <row r="488" spans="1:6" ht="15" x14ac:dyDescent="0.25">
      <c r="A488" s="41"/>
      <c r="B488" s="59" t="s">
        <v>102</v>
      </c>
      <c r="C488" s="41">
        <v>22.3</v>
      </c>
      <c r="D488" s="41">
        <v>142</v>
      </c>
      <c r="E488" s="41">
        <v>21.7</v>
      </c>
      <c r="F488" s="41">
        <v>140</v>
      </c>
    </row>
    <row r="489" spans="1:6" ht="15" x14ac:dyDescent="0.25">
      <c r="A489" s="41"/>
      <c r="B489" s="59" t="s">
        <v>103</v>
      </c>
      <c r="C489" s="41">
        <v>24.3</v>
      </c>
      <c r="D489" s="41">
        <v>144</v>
      </c>
      <c r="E489" s="41">
        <v>26.8</v>
      </c>
      <c r="F489" s="41">
        <v>142</v>
      </c>
    </row>
    <row r="490" spans="1:6" ht="15" x14ac:dyDescent="0.25">
      <c r="A490" s="41" t="s">
        <v>423</v>
      </c>
      <c r="B490" s="59" t="s">
        <v>85</v>
      </c>
      <c r="C490" s="41">
        <v>28.5</v>
      </c>
      <c r="D490" s="41">
        <v>146</v>
      </c>
      <c r="E490" s="41">
        <v>34.5</v>
      </c>
      <c r="F490" s="41">
        <v>150</v>
      </c>
    </row>
    <row r="491" spans="1:6" ht="15" x14ac:dyDescent="0.25">
      <c r="A491" s="41"/>
      <c r="B491" s="59" t="s">
        <v>102</v>
      </c>
      <c r="C491" s="41">
        <v>29.5</v>
      </c>
      <c r="D491" s="41">
        <v>148</v>
      </c>
      <c r="E491" s="41">
        <v>28.6</v>
      </c>
      <c r="F491" s="41">
        <v>150</v>
      </c>
    </row>
    <row r="492" spans="1:6" ht="15" x14ac:dyDescent="0.25">
      <c r="A492" s="41"/>
      <c r="B492" s="59" t="s">
        <v>103</v>
      </c>
      <c r="C492" s="41">
        <v>28</v>
      </c>
      <c r="D492" s="41">
        <v>146</v>
      </c>
      <c r="E492" s="41">
        <v>29.6</v>
      </c>
      <c r="F492" s="41">
        <v>148</v>
      </c>
    </row>
    <row r="493" spans="1:6" ht="15" x14ac:dyDescent="0.25">
      <c r="A493" s="41" t="s">
        <v>424</v>
      </c>
      <c r="B493" s="59" t="s">
        <v>85</v>
      </c>
      <c r="C493" s="41">
        <v>27.9</v>
      </c>
      <c r="D493" s="41">
        <v>146</v>
      </c>
      <c r="E493" s="41">
        <v>26.3</v>
      </c>
      <c r="F493" s="41">
        <v>148</v>
      </c>
    </row>
    <row r="494" spans="1:6" ht="15" x14ac:dyDescent="0.25">
      <c r="A494" s="41"/>
      <c r="B494" s="59" t="s">
        <v>102</v>
      </c>
      <c r="C494" s="41">
        <v>26.3</v>
      </c>
      <c r="D494" s="41">
        <v>146</v>
      </c>
      <c r="E494" s="41">
        <v>27.7</v>
      </c>
      <c r="F494" s="41">
        <v>148</v>
      </c>
    </row>
    <row r="495" spans="1:6" ht="15" x14ac:dyDescent="0.25">
      <c r="A495" s="41"/>
      <c r="B495" s="59" t="s">
        <v>103</v>
      </c>
      <c r="C495" s="41">
        <v>27.7</v>
      </c>
      <c r="D495" s="41">
        <v>144</v>
      </c>
      <c r="E495" s="41">
        <v>28.6</v>
      </c>
      <c r="F495" s="41">
        <v>148</v>
      </c>
    </row>
    <row r="496" spans="1:6" ht="15" x14ac:dyDescent="0.25">
      <c r="A496" s="41" t="s">
        <v>425</v>
      </c>
      <c r="B496" s="59" t="s">
        <v>85</v>
      </c>
      <c r="C496" s="41">
        <v>21.4</v>
      </c>
      <c r="D496" s="41">
        <v>144</v>
      </c>
      <c r="E496" s="41">
        <v>22.7</v>
      </c>
      <c r="F496" s="41">
        <v>146</v>
      </c>
    </row>
    <row r="497" spans="1:6" ht="15" x14ac:dyDescent="0.25">
      <c r="A497" s="41"/>
      <c r="B497" s="59" t="s">
        <v>102</v>
      </c>
      <c r="C497" s="41">
        <v>24.1</v>
      </c>
      <c r="D497" s="41">
        <v>144</v>
      </c>
      <c r="E497" s="41">
        <v>24.4</v>
      </c>
      <c r="F497" s="41">
        <v>146</v>
      </c>
    </row>
    <row r="498" spans="1:6" ht="15" x14ac:dyDescent="0.25">
      <c r="A498" s="41"/>
      <c r="B498" s="59" t="s">
        <v>103</v>
      </c>
      <c r="C498" s="41">
        <v>24.1</v>
      </c>
      <c r="D498" s="41">
        <v>146</v>
      </c>
      <c r="E498" s="41">
        <v>25.5</v>
      </c>
      <c r="F498" s="41">
        <v>148</v>
      </c>
    </row>
    <row r="499" spans="1:6" ht="15" x14ac:dyDescent="0.25">
      <c r="A499" s="41" t="s">
        <v>426</v>
      </c>
      <c r="B499" s="59" t="s">
        <v>85</v>
      </c>
      <c r="C499" s="41">
        <v>28.1</v>
      </c>
      <c r="D499" s="41">
        <v>146</v>
      </c>
      <c r="E499" s="41">
        <v>20.7</v>
      </c>
      <c r="F499" s="41">
        <v>150</v>
      </c>
    </row>
    <row r="500" spans="1:6" ht="15" x14ac:dyDescent="0.25">
      <c r="A500" s="41"/>
      <c r="B500" s="59" t="s">
        <v>102</v>
      </c>
      <c r="C500" s="41">
        <v>24.4</v>
      </c>
      <c r="D500" s="41">
        <v>146</v>
      </c>
      <c r="E500" s="41">
        <v>27.5</v>
      </c>
      <c r="F500" s="41">
        <v>148</v>
      </c>
    </row>
    <row r="501" spans="1:6" ht="15" x14ac:dyDescent="0.25">
      <c r="A501" s="41"/>
      <c r="B501" s="59" t="s">
        <v>103</v>
      </c>
      <c r="C501" s="41">
        <v>21.6</v>
      </c>
      <c r="D501" s="41">
        <v>142</v>
      </c>
      <c r="E501" s="41">
        <v>22.7</v>
      </c>
      <c r="F501" s="41">
        <v>144</v>
      </c>
    </row>
    <row r="502" spans="1:6" ht="15" x14ac:dyDescent="0.25">
      <c r="A502" s="41" t="s">
        <v>428</v>
      </c>
      <c r="B502" s="59" t="s">
        <v>85</v>
      </c>
      <c r="C502" s="41">
        <v>28.7</v>
      </c>
      <c r="D502" s="41">
        <v>148</v>
      </c>
      <c r="E502" s="41">
        <v>35</v>
      </c>
      <c r="F502" s="41">
        <v>152</v>
      </c>
    </row>
    <row r="503" spans="1:6" ht="15" x14ac:dyDescent="0.25">
      <c r="A503" s="41"/>
      <c r="B503" s="59" t="s">
        <v>102</v>
      </c>
      <c r="C503" s="41">
        <v>20.100000000000001</v>
      </c>
      <c r="D503" s="41">
        <v>148</v>
      </c>
      <c r="E503" s="41">
        <v>28.4</v>
      </c>
      <c r="F503" s="41">
        <v>150</v>
      </c>
    </row>
    <row r="504" spans="1:6" ht="15" x14ac:dyDescent="0.25">
      <c r="A504" s="41"/>
      <c r="B504" s="59" t="s">
        <v>103</v>
      </c>
      <c r="C504" s="41">
        <v>22</v>
      </c>
      <c r="D504" s="41">
        <v>144</v>
      </c>
      <c r="E504" s="41">
        <v>24.4</v>
      </c>
      <c r="F504" s="41">
        <v>148</v>
      </c>
    </row>
    <row r="505" spans="1:6" ht="15" x14ac:dyDescent="0.25">
      <c r="A505" s="41" t="s">
        <v>389</v>
      </c>
      <c r="B505" s="59" t="s">
        <v>85</v>
      </c>
      <c r="C505" s="41">
        <v>17.2</v>
      </c>
      <c r="D505" s="41">
        <v>146</v>
      </c>
      <c r="E505" s="41">
        <v>21</v>
      </c>
      <c r="F505" s="41">
        <v>148</v>
      </c>
    </row>
    <row r="506" spans="1:6" ht="15" x14ac:dyDescent="0.25">
      <c r="A506" s="41"/>
      <c r="B506" s="59" t="s">
        <v>102</v>
      </c>
      <c r="C506" s="41">
        <v>27</v>
      </c>
      <c r="D506" s="41">
        <v>146</v>
      </c>
      <c r="E506" s="41">
        <v>26.7</v>
      </c>
      <c r="F506" s="41">
        <v>148</v>
      </c>
    </row>
    <row r="507" spans="1:6" ht="15" x14ac:dyDescent="0.25">
      <c r="A507" s="41"/>
      <c r="B507" s="59" t="s">
        <v>103</v>
      </c>
      <c r="C507" s="41">
        <v>23.7</v>
      </c>
      <c r="D507" s="41">
        <v>144</v>
      </c>
      <c r="E507" s="41">
        <v>24.2</v>
      </c>
      <c r="F507" s="41">
        <v>144</v>
      </c>
    </row>
    <row r="508" spans="1:6" ht="15" x14ac:dyDescent="0.25">
      <c r="A508" s="41" t="s">
        <v>390</v>
      </c>
      <c r="B508" s="59" t="s">
        <v>85</v>
      </c>
      <c r="C508" s="41">
        <v>26.4</v>
      </c>
      <c r="D508" s="41">
        <v>148</v>
      </c>
      <c r="E508" s="41">
        <v>29.7</v>
      </c>
      <c r="F508" s="41">
        <v>150</v>
      </c>
    </row>
    <row r="509" spans="1:6" ht="15" x14ac:dyDescent="0.25">
      <c r="A509" s="41"/>
      <c r="B509" s="59" t="s">
        <v>102</v>
      </c>
      <c r="C509" s="41">
        <v>20</v>
      </c>
      <c r="D509" s="41">
        <v>144</v>
      </c>
      <c r="E509" s="41">
        <v>19.2</v>
      </c>
      <c r="F509" s="41">
        <v>144</v>
      </c>
    </row>
    <row r="510" spans="1:6" ht="15" x14ac:dyDescent="0.25">
      <c r="A510" s="41"/>
      <c r="B510" s="59" t="s">
        <v>103</v>
      </c>
      <c r="C510" s="41">
        <v>20.100000000000001</v>
      </c>
      <c r="D510" s="41">
        <v>142</v>
      </c>
      <c r="E510" s="41">
        <v>20.7</v>
      </c>
      <c r="F510" s="41">
        <v>142</v>
      </c>
    </row>
    <row r="511" spans="1:6" ht="15" x14ac:dyDescent="0.25">
      <c r="A511" s="41" t="s">
        <v>429</v>
      </c>
      <c r="B511" s="59" t="s">
        <v>85</v>
      </c>
      <c r="C511" s="41">
        <v>27.1</v>
      </c>
      <c r="D511" s="41">
        <v>148</v>
      </c>
      <c r="E511" s="41">
        <v>27.9</v>
      </c>
      <c r="F511" s="41">
        <v>150</v>
      </c>
    </row>
    <row r="512" spans="1:6" ht="15" x14ac:dyDescent="0.25">
      <c r="A512" s="41"/>
      <c r="B512" s="59" t="s">
        <v>102</v>
      </c>
      <c r="C512" s="41">
        <v>27.7</v>
      </c>
      <c r="D512" s="41">
        <v>148</v>
      </c>
      <c r="E512" s="41">
        <v>26.3</v>
      </c>
      <c r="F512" s="41">
        <v>150</v>
      </c>
    </row>
    <row r="513" spans="1:6" ht="15" x14ac:dyDescent="0.25">
      <c r="A513" s="41"/>
      <c r="B513" s="59" t="s">
        <v>103</v>
      </c>
      <c r="C513" s="41">
        <v>26.4</v>
      </c>
      <c r="D513" s="41">
        <v>146</v>
      </c>
      <c r="E513" s="41">
        <v>27</v>
      </c>
      <c r="F513" s="41">
        <v>148</v>
      </c>
    </row>
    <row r="514" spans="1:6" ht="15" x14ac:dyDescent="0.25">
      <c r="A514" s="41" t="s">
        <v>430</v>
      </c>
      <c r="B514" s="59" t="s">
        <v>85</v>
      </c>
      <c r="C514" s="41">
        <v>33.700000000000003</v>
      </c>
      <c r="D514" s="41">
        <v>146</v>
      </c>
      <c r="E514" s="41">
        <v>34.5</v>
      </c>
      <c r="F514" s="41">
        <v>148</v>
      </c>
    </row>
    <row r="515" spans="1:6" ht="15" x14ac:dyDescent="0.25">
      <c r="A515" s="41"/>
      <c r="B515" s="59" t="s">
        <v>102</v>
      </c>
      <c r="C515" s="41">
        <v>33.4</v>
      </c>
      <c r="D515" s="41">
        <v>148</v>
      </c>
      <c r="E515" s="41">
        <v>34.5</v>
      </c>
      <c r="F515" s="41">
        <v>150</v>
      </c>
    </row>
    <row r="516" spans="1:6" ht="15" x14ac:dyDescent="0.25">
      <c r="A516" s="41"/>
      <c r="B516" s="59" t="s">
        <v>103</v>
      </c>
      <c r="C516" s="41">
        <v>30.3</v>
      </c>
      <c r="D516" s="41">
        <v>146</v>
      </c>
      <c r="E516" s="41">
        <v>31.2</v>
      </c>
      <c r="F516" s="41">
        <v>148</v>
      </c>
    </row>
    <row r="517" spans="1:6" ht="15" x14ac:dyDescent="0.25">
      <c r="A517" s="41" t="s">
        <v>431</v>
      </c>
      <c r="B517" s="59" t="s">
        <v>85</v>
      </c>
      <c r="C517" s="41">
        <v>29.4</v>
      </c>
      <c r="D517" s="41">
        <v>146</v>
      </c>
      <c r="E517" s="41">
        <v>30.9</v>
      </c>
      <c r="F517" s="41">
        <v>148</v>
      </c>
    </row>
    <row r="518" spans="1:6" ht="15" x14ac:dyDescent="0.25">
      <c r="A518" s="41"/>
      <c r="B518" s="59" t="s">
        <v>102</v>
      </c>
      <c r="C518" s="41">
        <v>29.2</v>
      </c>
      <c r="D518" s="41">
        <v>146</v>
      </c>
      <c r="E518" s="41">
        <v>29.8</v>
      </c>
      <c r="F518" s="41">
        <v>148</v>
      </c>
    </row>
    <row r="519" spans="1:6" ht="15" x14ac:dyDescent="0.25">
      <c r="A519" s="41"/>
      <c r="B519" s="59" t="s">
        <v>103</v>
      </c>
      <c r="C519" s="41">
        <v>23</v>
      </c>
      <c r="D519" s="41">
        <v>144</v>
      </c>
      <c r="E519" s="41">
        <v>24.3</v>
      </c>
      <c r="F519" s="41">
        <v>148</v>
      </c>
    </row>
    <row r="520" spans="1:6" ht="15" x14ac:dyDescent="0.25">
      <c r="A520" s="41" t="s">
        <v>432</v>
      </c>
      <c r="B520" s="59" t="s">
        <v>85</v>
      </c>
      <c r="C520" s="41">
        <v>25.6</v>
      </c>
      <c r="D520" s="41">
        <v>148</v>
      </c>
      <c r="E520" s="41">
        <v>26.5</v>
      </c>
      <c r="F520" s="41">
        <v>150</v>
      </c>
    </row>
    <row r="521" spans="1:6" ht="15" x14ac:dyDescent="0.25">
      <c r="A521" s="41"/>
      <c r="B521" s="59" t="s">
        <v>102</v>
      </c>
      <c r="C521" s="41">
        <v>18</v>
      </c>
      <c r="D521" s="41">
        <v>146</v>
      </c>
      <c r="E521" s="41">
        <v>19.600000000000001</v>
      </c>
      <c r="F521" s="41">
        <v>148</v>
      </c>
    </row>
    <row r="522" spans="1:6" ht="15" x14ac:dyDescent="0.25">
      <c r="A522" s="41" t="s">
        <v>433</v>
      </c>
      <c r="B522" s="59" t="s">
        <v>85</v>
      </c>
      <c r="C522" s="41">
        <v>28.7</v>
      </c>
      <c r="D522" s="41">
        <v>146</v>
      </c>
      <c r="E522" s="41">
        <v>30.6</v>
      </c>
      <c r="F522" s="41">
        <v>148</v>
      </c>
    </row>
    <row r="523" spans="1:6" ht="15" x14ac:dyDescent="0.25">
      <c r="A523" s="41"/>
      <c r="B523" s="59" t="s">
        <v>102</v>
      </c>
      <c r="C523" s="41">
        <v>24</v>
      </c>
      <c r="D523" s="41">
        <v>146</v>
      </c>
      <c r="E523" s="41">
        <v>28</v>
      </c>
      <c r="F523" s="41">
        <v>148</v>
      </c>
    </row>
    <row r="524" spans="1:6" ht="15" x14ac:dyDescent="0.25">
      <c r="A524" s="41"/>
      <c r="B524" s="59" t="s">
        <v>103</v>
      </c>
      <c r="C524" s="41">
        <v>21.7</v>
      </c>
      <c r="D524" s="41">
        <v>150</v>
      </c>
      <c r="E524" s="41">
        <v>24.3</v>
      </c>
      <c r="F524" s="41">
        <v>145</v>
      </c>
    </row>
    <row r="525" spans="1:6" ht="15" x14ac:dyDescent="0.25">
      <c r="A525" s="41" t="s">
        <v>435</v>
      </c>
      <c r="B525" s="59" t="s">
        <v>85</v>
      </c>
      <c r="C525" s="41">
        <v>21.6</v>
      </c>
      <c r="D525" s="41">
        <v>146</v>
      </c>
      <c r="E525" s="41">
        <v>30.4</v>
      </c>
      <c r="F525" s="41">
        <v>148</v>
      </c>
    </row>
    <row r="526" spans="1:6" ht="15" x14ac:dyDescent="0.25">
      <c r="A526" s="41"/>
      <c r="B526" s="59" t="s">
        <v>102</v>
      </c>
      <c r="C526" s="41">
        <v>25.2</v>
      </c>
      <c r="D526" s="41">
        <v>148</v>
      </c>
      <c r="E526" s="41">
        <v>29.8</v>
      </c>
      <c r="F526" s="41">
        <v>150</v>
      </c>
    </row>
    <row r="527" spans="1:6" ht="15" x14ac:dyDescent="0.25">
      <c r="A527" s="41"/>
      <c r="B527" s="59" t="s">
        <v>103</v>
      </c>
      <c r="C527" s="41">
        <v>24.6</v>
      </c>
      <c r="D527" s="41">
        <v>146</v>
      </c>
      <c r="E527" s="41">
        <v>28.6</v>
      </c>
      <c r="F527" s="41">
        <v>148</v>
      </c>
    </row>
    <row r="528" spans="1:6" ht="15" x14ac:dyDescent="0.25">
      <c r="A528" s="41" t="s">
        <v>438</v>
      </c>
      <c r="B528" s="59" t="s">
        <v>85</v>
      </c>
      <c r="C528" s="41">
        <v>23.9</v>
      </c>
      <c r="D528" s="41">
        <v>146</v>
      </c>
      <c r="E528" s="41">
        <v>21.2</v>
      </c>
      <c r="F528" s="41">
        <v>142</v>
      </c>
    </row>
    <row r="529" spans="1:6" ht="15" x14ac:dyDescent="0.25">
      <c r="A529" s="41"/>
      <c r="B529" s="59" t="s">
        <v>102</v>
      </c>
      <c r="C529" s="41">
        <v>22.8</v>
      </c>
      <c r="D529" s="41">
        <v>142</v>
      </c>
      <c r="E529" s="41">
        <v>24.2</v>
      </c>
      <c r="F529" s="41">
        <v>144</v>
      </c>
    </row>
    <row r="530" spans="1:6" ht="15" x14ac:dyDescent="0.25">
      <c r="A530" s="41"/>
      <c r="B530" s="59" t="s">
        <v>103</v>
      </c>
      <c r="C530" s="41">
        <v>18.3</v>
      </c>
      <c r="D530" s="41">
        <v>140</v>
      </c>
      <c r="E530" s="41">
        <v>19.100000000000001</v>
      </c>
      <c r="F530" s="41">
        <v>142</v>
      </c>
    </row>
    <row r="531" spans="1:6" ht="15" x14ac:dyDescent="0.25">
      <c r="A531" s="41" t="s">
        <v>439</v>
      </c>
      <c r="B531" s="59" t="s">
        <v>85</v>
      </c>
      <c r="C531" s="41">
        <v>19.100000000000001</v>
      </c>
      <c r="D531" s="41">
        <v>142</v>
      </c>
      <c r="E531" s="41">
        <v>19.3</v>
      </c>
      <c r="F531" s="41">
        <v>144</v>
      </c>
    </row>
    <row r="532" spans="1:6" ht="15" x14ac:dyDescent="0.25">
      <c r="A532" s="41"/>
      <c r="B532" s="59" t="s">
        <v>102</v>
      </c>
      <c r="C532" s="41">
        <v>18.899999999999999</v>
      </c>
      <c r="D532" s="41">
        <v>144</v>
      </c>
      <c r="E532" s="41">
        <v>19</v>
      </c>
      <c r="F532" s="41">
        <v>146</v>
      </c>
    </row>
    <row r="533" spans="1:6" ht="15" x14ac:dyDescent="0.25">
      <c r="A533" s="41"/>
      <c r="B533" s="59" t="s">
        <v>103</v>
      </c>
      <c r="C533" s="41">
        <v>25</v>
      </c>
      <c r="D533" s="41">
        <v>142</v>
      </c>
      <c r="E533" s="41">
        <v>23.9</v>
      </c>
      <c r="F533" s="41">
        <v>146</v>
      </c>
    </row>
    <row r="534" spans="1:6" ht="15" x14ac:dyDescent="0.25">
      <c r="A534" s="41" t="s">
        <v>440</v>
      </c>
      <c r="B534" s="59" t="s">
        <v>85</v>
      </c>
      <c r="C534" s="41" t="s">
        <v>441</v>
      </c>
      <c r="D534" s="41">
        <v>146</v>
      </c>
      <c r="E534" s="41">
        <v>27.7</v>
      </c>
      <c r="F534" s="41">
        <v>148</v>
      </c>
    </row>
    <row r="535" spans="1:6" ht="15" x14ac:dyDescent="0.25">
      <c r="A535" s="41"/>
      <c r="B535" s="59" t="s">
        <v>102</v>
      </c>
      <c r="C535" s="41">
        <v>16.600000000000001</v>
      </c>
      <c r="D535" s="41">
        <v>144</v>
      </c>
      <c r="E535" s="41">
        <v>14.4</v>
      </c>
      <c r="F535" s="41">
        <v>146</v>
      </c>
    </row>
    <row r="536" spans="1:6" ht="15" x14ac:dyDescent="0.25">
      <c r="A536" s="41"/>
      <c r="B536" s="59" t="s">
        <v>103</v>
      </c>
      <c r="C536" s="41">
        <v>17.8</v>
      </c>
      <c r="D536" s="41">
        <v>146</v>
      </c>
      <c r="E536" s="41">
        <v>18.2</v>
      </c>
      <c r="F536" s="41">
        <v>148</v>
      </c>
    </row>
    <row r="537" spans="1:6" ht="15" x14ac:dyDescent="0.25">
      <c r="A537" s="41" t="s">
        <v>442</v>
      </c>
      <c r="B537" s="59" t="s">
        <v>85</v>
      </c>
      <c r="C537" s="41">
        <v>26.9</v>
      </c>
      <c r="D537" s="41">
        <v>144</v>
      </c>
      <c r="E537" s="41">
        <v>22.4</v>
      </c>
      <c r="F537" s="41">
        <v>146</v>
      </c>
    </row>
    <row r="538" spans="1:6" ht="15" x14ac:dyDescent="0.25">
      <c r="A538" s="41"/>
      <c r="B538" s="59" t="s">
        <v>102</v>
      </c>
      <c r="C538" s="41">
        <v>25.4</v>
      </c>
      <c r="D538" s="41">
        <v>144</v>
      </c>
      <c r="E538" s="41">
        <v>24.5</v>
      </c>
      <c r="F538" s="41">
        <v>146</v>
      </c>
    </row>
    <row r="539" spans="1:6" ht="15" x14ac:dyDescent="0.25">
      <c r="A539" s="41"/>
      <c r="B539" s="59" t="s">
        <v>103</v>
      </c>
      <c r="C539" s="41">
        <v>254</v>
      </c>
      <c r="D539" s="41">
        <v>144</v>
      </c>
      <c r="E539" s="41">
        <v>24.2</v>
      </c>
      <c r="F539" s="41">
        <v>146</v>
      </c>
    </row>
    <row r="540" spans="1:6" ht="15" x14ac:dyDescent="0.25">
      <c r="A540" s="41" t="s">
        <v>443</v>
      </c>
      <c r="B540" s="59" t="s">
        <v>85</v>
      </c>
      <c r="C540" s="41">
        <v>22.4</v>
      </c>
      <c r="D540" s="41">
        <v>144</v>
      </c>
      <c r="E540" s="41">
        <v>23.8</v>
      </c>
      <c r="F540" s="41">
        <v>146</v>
      </c>
    </row>
    <row r="541" spans="1:6" ht="15" x14ac:dyDescent="0.25">
      <c r="A541" s="41"/>
      <c r="B541" s="59" t="s">
        <v>102</v>
      </c>
      <c r="C541" s="41">
        <v>28.2</v>
      </c>
      <c r="D541" s="41">
        <v>146</v>
      </c>
      <c r="E541" s="41">
        <v>24.7</v>
      </c>
      <c r="F541" s="41">
        <v>148</v>
      </c>
    </row>
    <row r="542" spans="1:6" ht="15" x14ac:dyDescent="0.25">
      <c r="A542" s="41"/>
      <c r="B542" s="59" t="s">
        <v>103</v>
      </c>
      <c r="C542" s="41">
        <v>16.2</v>
      </c>
      <c r="D542" s="41">
        <v>140</v>
      </c>
      <c r="E542" s="41">
        <v>16.899999999999999</v>
      </c>
      <c r="F542" s="41">
        <v>140</v>
      </c>
    </row>
    <row r="543" spans="1:6" ht="15" x14ac:dyDescent="0.25">
      <c r="A543" s="41" t="s">
        <v>444</v>
      </c>
      <c r="B543" s="59" t="s">
        <v>85</v>
      </c>
      <c r="C543" s="41">
        <v>23.9</v>
      </c>
      <c r="D543" s="41">
        <v>142</v>
      </c>
      <c r="E543" s="41">
        <v>27.9</v>
      </c>
      <c r="F543" s="41">
        <v>144</v>
      </c>
    </row>
    <row r="544" spans="1:6" ht="15" x14ac:dyDescent="0.25">
      <c r="A544" s="41"/>
      <c r="B544" s="59" t="s">
        <v>102</v>
      </c>
      <c r="C544" s="41">
        <v>28.6</v>
      </c>
      <c r="D544" s="41">
        <v>144</v>
      </c>
      <c r="E544" s="41">
        <v>28.8</v>
      </c>
      <c r="F544" s="41">
        <v>146</v>
      </c>
    </row>
    <row r="545" spans="1:6" ht="15" x14ac:dyDescent="0.25">
      <c r="A545" s="41"/>
      <c r="B545" s="59" t="s">
        <v>103</v>
      </c>
      <c r="C545" s="41">
        <v>25.3</v>
      </c>
      <c r="D545" s="41">
        <v>146</v>
      </c>
      <c r="E545" s="41">
        <v>23.3</v>
      </c>
      <c r="F545" s="41">
        <v>140</v>
      </c>
    </row>
    <row r="546" spans="1:6" ht="15" x14ac:dyDescent="0.25">
      <c r="A546" s="41" t="s">
        <v>445</v>
      </c>
      <c r="B546" s="59" t="s">
        <v>85</v>
      </c>
      <c r="C546" s="41">
        <v>17.899999999999999</v>
      </c>
      <c r="D546" s="41">
        <v>144</v>
      </c>
      <c r="E546" s="41">
        <v>19.399999999999999</v>
      </c>
      <c r="F546" s="41">
        <v>143</v>
      </c>
    </row>
    <row r="547" spans="1:6" ht="15" x14ac:dyDescent="0.25">
      <c r="A547" s="41"/>
      <c r="B547" s="59" t="s">
        <v>102</v>
      </c>
      <c r="C547" s="41">
        <v>19.3</v>
      </c>
      <c r="D547" s="41">
        <v>146</v>
      </c>
      <c r="E547" s="41">
        <v>20.6</v>
      </c>
      <c r="F547" s="41">
        <v>144</v>
      </c>
    </row>
    <row r="548" spans="1:6" ht="15" x14ac:dyDescent="0.25">
      <c r="A548" s="41"/>
      <c r="B548" s="59" t="s">
        <v>103</v>
      </c>
      <c r="C548" s="41">
        <v>19.100000000000001</v>
      </c>
      <c r="D548" s="41">
        <v>144</v>
      </c>
      <c r="E548" s="41">
        <v>19.2</v>
      </c>
      <c r="F548" s="41">
        <v>142</v>
      </c>
    </row>
    <row r="549" spans="1:6" ht="15" x14ac:dyDescent="0.25">
      <c r="A549" s="41" t="s">
        <v>446</v>
      </c>
      <c r="B549" s="59" t="s">
        <v>85</v>
      </c>
      <c r="C549" s="41">
        <v>20.3</v>
      </c>
      <c r="D549" s="41">
        <v>142</v>
      </c>
      <c r="E549" s="41">
        <v>22.8</v>
      </c>
      <c r="F549" s="41">
        <v>140</v>
      </c>
    </row>
    <row r="550" spans="1:6" ht="15" x14ac:dyDescent="0.25">
      <c r="A550" s="41"/>
      <c r="B550" s="59" t="s">
        <v>102</v>
      </c>
      <c r="C550" s="41">
        <v>26</v>
      </c>
      <c r="D550" s="41">
        <v>143</v>
      </c>
      <c r="E550" s="41">
        <v>13.1</v>
      </c>
      <c r="F550" s="41">
        <v>141</v>
      </c>
    </row>
    <row r="551" spans="1:6" ht="15" x14ac:dyDescent="0.25">
      <c r="A551" s="41"/>
      <c r="B551" s="59" t="s">
        <v>103</v>
      </c>
      <c r="C551" s="41">
        <v>18</v>
      </c>
      <c r="D551" s="41">
        <v>142</v>
      </c>
      <c r="E551" s="41">
        <v>19.600000000000001</v>
      </c>
      <c r="F551" s="41">
        <v>146</v>
      </c>
    </row>
    <row r="552" spans="1:6" ht="15" x14ac:dyDescent="0.25">
      <c r="A552" s="41" t="s">
        <v>448</v>
      </c>
      <c r="B552" s="59" t="s">
        <v>85</v>
      </c>
      <c r="C552" s="41">
        <v>28.3</v>
      </c>
      <c r="D552" s="41">
        <v>148</v>
      </c>
      <c r="E552" s="41">
        <v>22.4</v>
      </c>
      <c r="F552" s="41">
        <v>148</v>
      </c>
    </row>
    <row r="553" spans="1:6" ht="15" x14ac:dyDescent="0.25">
      <c r="A553" s="41"/>
      <c r="B553" s="59" t="s">
        <v>102</v>
      </c>
      <c r="C553" s="41">
        <v>23</v>
      </c>
      <c r="D553" s="41">
        <v>146</v>
      </c>
      <c r="E553" s="41">
        <v>22.2</v>
      </c>
      <c r="F553" s="41">
        <v>144</v>
      </c>
    </row>
    <row r="554" spans="1:6" ht="15" x14ac:dyDescent="0.25">
      <c r="A554" s="41"/>
      <c r="B554" s="59" t="s">
        <v>103</v>
      </c>
      <c r="C554" s="41">
        <v>20.8</v>
      </c>
      <c r="D554" s="41">
        <v>144</v>
      </c>
      <c r="E554" s="41">
        <v>21.7</v>
      </c>
      <c r="F554" s="41">
        <v>142</v>
      </c>
    </row>
    <row r="555" spans="1:6" ht="15" x14ac:dyDescent="0.25">
      <c r="A555" s="41" t="s">
        <v>449</v>
      </c>
      <c r="B555" s="59" t="s">
        <v>85</v>
      </c>
      <c r="C555" s="41">
        <v>26.8</v>
      </c>
      <c r="D555" s="41">
        <v>144</v>
      </c>
      <c r="E555" s="41">
        <v>18</v>
      </c>
      <c r="F555" s="41">
        <v>146</v>
      </c>
    </row>
    <row r="556" spans="1:6" ht="15" x14ac:dyDescent="0.25">
      <c r="A556" s="41"/>
      <c r="B556" s="59" t="s">
        <v>102</v>
      </c>
      <c r="C556" s="41">
        <v>24</v>
      </c>
      <c r="D556" s="41">
        <v>144</v>
      </c>
      <c r="E556" s="41">
        <v>24.4</v>
      </c>
      <c r="F556" s="41">
        <v>146</v>
      </c>
    </row>
    <row r="557" spans="1:6" ht="15" x14ac:dyDescent="0.25">
      <c r="A557" s="41"/>
      <c r="B557" s="59" t="s">
        <v>103</v>
      </c>
      <c r="C557" s="41">
        <v>24.4</v>
      </c>
      <c r="D557" s="41">
        <v>146</v>
      </c>
      <c r="E557" s="41">
        <v>23.4</v>
      </c>
      <c r="F557" s="41">
        <v>142</v>
      </c>
    </row>
    <row r="558" spans="1:6" ht="15" x14ac:dyDescent="0.25">
      <c r="A558" s="41" t="s">
        <v>450</v>
      </c>
      <c r="B558" s="59" t="s">
        <v>85</v>
      </c>
      <c r="C558" s="41">
        <v>23.6</v>
      </c>
      <c r="D558" s="41">
        <v>146</v>
      </c>
      <c r="E558" s="41">
        <v>23.4</v>
      </c>
      <c r="F558" s="41">
        <v>148</v>
      </c>
    </row>
    <row r="559" spans="1:6" ht="15" x14ac:dyDescent="0.25">
      <c r="A559" s="41"/>
      <c r="B559" s="59" t="s">
        <v>102</v>
      </c>
      <c r="C559" s="41">
        <v>21.5</v>
      </c>
      <c r="D559" s="41">
        <v>146</v>
      </c>
      <c r="E559" s="41">
        <v>25.1</v>
      </c>
      <c r="F559" s="41">
        <v>148</v>
      </c>
    </row>
    <row r="560" spans="1:6" ht="15" x14ac:dyDescent="0.25">
      <c r="A560" s="41"/>
      <c r="B560" s="59" t="s">
        <v>103</v>
      </c>
      <c r="C560" s="41">
        <v>25.6</v>
      </c>
      <c r="D560" s="41">
        <v>148</v>
      </c>
      <c r="E560" s="41">
        <v>27.2</v>
      </c>
      <c r="F560" s="41">
        <v>150</v>
      </c>
    </row>
    <row r="561" spans="1:6" ht="15" x14ac:dyDescent="0.25">
      <c r="A561" s="41" t="s">
        <v>451</v>
      </c>
      <c r="B561" s="59" t="s">
        <v>85</v>
      </c>
      <c r="C561" s="41">
        <v>20.7</v>
      </c>
      <c r="D561" s="41">
        <v>148</v>
      </c>
      <c r="E561" s="41">
        <v>24</v>
      </c>
      <c r="F561" s="41">
        <v>150</v>
      </c>
    </row>
    <row r="562" spans="1:6" ht="15" x14ac:dyDescent="0.25">
      <c r="A562" s="41"/>
      <c r="B562" s="59" t="s">
        <v>102</v>
      </c>
      <c r="C562" s="41">
        <v>21.2</v>
      </c>
      <c r="D562" s="41">
        <v>146</v>
      </c>
      <c r="E562" s="41">
        <v>22.8</v>
      </c>
      <c r="F562" s="41">
        <v>148</v>
      </c>
    </row>
    <row r="563" spans="1:6" ht="15" x14ac:dyDescent="0.25">
      <c r="A563" s="41"/>
      <c r="B563" s="59" t="s">
        <v>103</v>
      </c>
      <c r="C563" s="41">
        <v>21.8</v>
      </c>
      <c r="D563" s="41">
        <v>146</v>
      </c>
      <c r="E563" s="41">
        <v>23.8</v>
      </c>
      <c r="F563" s="41">
        <v>150</v>
      </c>
    </row>
    <row r="564" spans="1:6" ht="15" x14ac:dyDescent="0.25">
      <c r="A564" s="41" t="s">
        <v>453</v>
      </c>
      <c r="B564" s="59" t="s">
        <v>85</v>
      </c>
      <c r="C564" s="41">
        <v>26.5</v>
      </c>
      <c r="D564" s="41">
        <v>148</v>
      </c>
      <c r="E564" s="41">
        <v>23.6</v>
      </c>
      <c r="F564" s="41">
        <v>150</v>
      </c>
    </row>
    <row r="565" spans="1:6" ht="15" x14ac:dyDescent="0.25">
      <c r="A565" s="41"/>
      <c r="B565" s="59" t="s">
        <v>102</v>
      </c>
      <c r="C565" s="41">
        <v>12.9</v>
      </c>
      <c r="D565" s="41">
        <v>146</v>
      </c>
      <c r="E565" s="41">
        <v>21.3</v>
      </c>
      <c r="F565" s="41">
        <v>148</v>
      </c>
    </row>
    <row r="566" spans="1:6" ht="15" x14ac:dyDescent="0.25">
      <c r="A566" s="41"/>
      <c r="B566" s="59" t="s">
        <v>103</v>
      </c>
      <c r="C566" s="41">
        <v>16.2</v>
      </c>
      <c r="D566" s="41">
        <v>144</v>
      </c>
      <c r="E566" s="41">
        <v>22</v>
      </c>
      <c r="F566" s="41">
        <v>148</v>
      </c>
    </row>
    <row r="567" spans="1:6" ht="15" x14ac:dyDescent="0.25">
      <c r="A567" s="41" t="s">
        <v>454</v>
      </c>
      <c r="B567" s="59" t="s">
        <v>85</v>
      </c>
      <c r="C567" s="41">
        <v>18.2</v>
      </c>
      <c r="D567" s="41">
        <v>146</v>
      </c>
      <c r="E567" s="41">
        <v>20</v>
      </c>
      <c r="F567" s="41">
        <v>148</v>
      </c>
    </row>
    <row r="568" spans="1:6" ht="15" x14ac:dyDescent="0.25">
      <c r="A568" s="41"/>
      <c r="B568" s="59" t="s">
        <v>102</v>
      </c>
      <c r="C568" s="41">
        <v>19.2</v>
      </c>
      <c r="D568" s="41">
        <v>146</v>
      </c>
      <c r="E568" s="41">
        <v>21.2</v>
      </c>
      <c r="F568" s="41">
        <v>146</v>
      </c>
    </row>
    <row r="569" spans="1:6" ht="15" x14ac:dyDescent="0.25">
      <c r="A569" s="41"/>
      <c r="B569" s="59" t="s">
        <v>103</v>
      </c>
      <c r="C569" s="41">
        <v>19</v>
      </c>
      <c r="D569" s="41">
        <v>144</v>
      </c>
      <c r="E569" s="41">
        <v>21.6</v>
      </c>
      <c r="F569" s="41">
        <v>146</v>
      </c>
    </row>
    <row r="570" spans="1:6" ht="15" x14ac:dyDescent="0.25">
      <c r="A570" s="41" t="s">
        <v>456</v>
      </c>
      <c r="B570" s="59" t="s">
        <v>85</v>
      </c>
      <c r="C570" s="41">
        <v>19</v>
      </c>
      <c r="D570" s="41">
        <v>140</v>
      </c>
      <c r="E570" s="41">
        <v>14</v>
      </c>
      <c r="F570" s="41">
        <v>142</v>
      </c>
    </row>
    <row r="571" spans="1:6" ht="15" x14ac:dyDescent="0.25">
      <c r="A571" s="41"/>
      <c r="B571" s="59" t="s">
        <v>102</v>
      </c>
      <c r="C571" s="41">
        <v>25.9</v>
      </c>
      <c r="D571" s="41">
        <v>150</v>
      </c>
      <c r="E571" s="41">
        <v>30.1</v>
      </c>
      <c r="F571" s="41">
        <v>152</v>
      </c>
    </row>
    <row r="572" spans="1:6" ht="15" x14ac:dyDescent="0.25">
      <c r="A572" s="41"/>
      <c r="B572" s="59" t="s">
        <v>103</v>
      </c>
      <c r="C572" s="41">
        <v>22.6</v>
      </c>
      <c r="D572" s="41">
        <v>144</v>
      </c>
      <c r="E572" s="41">
        <v>23.9</v>
      </c>
      <c r="F572" s="41">
        <v>146</v>
      </c>
    </row>
    <row r="573" spans="1:6" ht="15" x14ac:dyDescent="0.25">
      <c r="A573" s="41" t="s">
        <v>455</v>
      </c>
      <c r="B573" s="59" t="s">
        <v>85</v>
      </c>
      <c r="C573" s="41">
        <v>16.899999999999999</v>
      </c>
      <c r="D573" s="41">
        <v>144</v>
      </c>
      <c r="E573" s="41">
        <v>12.9</v>
      </c>
      <c r="F573" s="41">
        <v>146</v>
      </c>
    </row>
    <row r="574" spans="1:6" ht="15" x14ac:dyDescent="0.25">
      <c r="A574" s="41"/>
      <c r="B574" s="59" t="s">
        <v>102</v>
      </c>
      <c r="C574" s="41">
        <v>19.5</v>
      </c>
      <c r="D574" s="41">
        <v>144</v>
      </c>
      <c r="E574" s="41">
        <v>23</v>
      </c>
      <c r="F574" s="41">
        <v>146</v>
      </c>
    </row>
    <row r="575" spans="1:6" ht="15" x14ac:dyDescent="0.25">
      <c r="A575" s="41"/>
      <c r="B575" s="59" t="s">
        <v>103</v>
      </c>
      <c r="C575" s="41">
        <v>20.8</v>
      </c>
      <c r="D575" s="41">
        <v>140</v>
      </c>
      <c r="E575" s="41">
        <v>21.6</v>
      </c>
      <c r="F575" s="41">
        <v>144</v>
      </c>
    </row>
    <row r="576" spans="1:6" ht="15" x14ac:dyDescent="0.25">
      <c r="A576" s="41" t="s">
        <v>457</v>
      </c>
      <c r="B576" s="59" t="s">
        <v>85</v>
      </c>
      <c r="C576" s="41">
        <v>16.899999999999999</v>
      </c>
      <c r="D576" s="41">
        <v>144</v>
      </c>
      <c r="E576" s="41">
        <v>27.1</v>
      </c>
      <c r="F576" s="41">
        <v>146</v>
      </c>
    </row>
    <row r="577" spans="1:6" ht="15" x14ac:dyDescent="0.25">
      <c r="A577" s="41"/>
      <c r="B577" s="59" t="s">
        <v>102</v>
      </c>
      <c r="C577" s="41">
        <v>24.9</v>
      </c>
      <c r="D577" s="41">
        <v>144</v>
      </c>
      <c r="E577" s="41">
        <v>25.5</v>
      </c>
      <c r="F577" s="41">
        <v>146</v>
      </c>
    </row>
    <row r="578" spans="1:6" ht="15" x14ac:dyDescent="0.25">
      <c r="A578" s="41"/>
      <c r="B578" s="59" t="s">
        <v>103</v>
      </c>
      <c r="C578" s="41">
        <v>22.1</v>
      </c>
      <c r="D578" s="41">
        <v>146</v>
      </c>
      <c r="E578" s="41">
        <v>23.6</v>
      </c>
      <c r="F578" s="41">
        <v>146</v>
      </c>
    </row>
    <row r="579" spans="1:6" ht="15" x14ac:dyDescent="0.25">
      <c r="A579" s="41" t="s">
        <v>458</v>
      </c>
      <c r="B579" s="59" t="s">
        <v>85</v>
      </c>
      <c r="C579" s="41">
        <v>26.2</v>
      </c>
      <c r="D579" s="41">
        <v>142</v>
      </c>
      <c r="E579" s="41">
        <v>24.2</v>
      </c>
      <c r="F579" s="41">
        <v>146</v>
      </c>
    </row>
    <row r="580" spans="1:6" ht="15" x14ac:dyDescent="0.25">
      <c r="A580" s="41"/>
      <c r="B580" s="59" t="s">
        <v>102</v>
      </c>
      <c r="C580" s="41">
        <v>23.6</v>
      </c>
      <c r="D580" s="41">
        <v>146</v>
      </c>
      <c r="E580" s="41">
        <v>24</v>
      </c>
      <c r="F580" s="41">
        <v>148</v>
      </c>
    </row>
    <row r="581" spans="1:6" ht="15" x14ac:dyDescent="0.25">
      <c r="A581" s="41"/>
      <c r="B581" s="59" t="s">
        <v>103</v>
      </c>
      <c r="C581" s="41">
        <v>23.6</v>
      </c>
      <c r="D581" s="41">
        <v>142</v>
      </c>
      <c r="E581" s="41">
        <v>23.9</v>
      </c>
      <c r="F581" s="41">
        <v>146</v>
      </c>
    </row>
    <row r="582" spans="1:6" ht="15" x14ac:dyDescent="0.25">
      <c r="A582" s="41" t="s">
        <v>459</v>
      </c>
      <c r="B582" s="59" t="s">
        <v>85</v>
      </c>
      <c r="C582" s="41">
        <v>19.7</v>
      </c>
      <c r="D582" s="41">
        <v>142</v>
      </c>
      <c r="E582" s="41">
        <v>28.7</v>
      </c>
      <c r="F582" s="41">
        <v>146</v>
      </c>
    </row>
    <row r="583" spans="1:6" ht="15" x14ac:dyDescent="0.25">
      <c r="A583" s="41"/>
      <c r="B583" s="59" t="s">
        <v>102</v>
      </c>
      <c r="C583" s="41">
        <v>20.7</v>
      </c>
      <c r="D583" s="41">
        <v>146</v>
      </c>
      <c r="E583" s="41">
        <v>20.7</v>
      </c>
      <c r="F583" s="41">
        <v>148</v>
      </c>
    </row>
    <row r="584" spans="1:6" ht="15" x14ac:dyDescent="0.25">
      <c r="A584" s="41"/>
      <c r="B584" s="59" t="s">
        <v>103</v>
      </c>
      <c r="C584" s="41">
        <v>21.5</v>
      </c>
      <c r="D584" s="41">
        <v>148</v>
      </c>
      <c r="E584" s="41">
        <v>22.6</v>
      </c>
      <c r="F584" s="41">
        <v>146</v>
      </c>
    </row>
    <row r="585" spans="1:6" ht="15" x14ac:dyDescent="0.25">
      <c r="A585" s="41" t="s">
        <v>460</v>
      </c>
      <c r="B585" s="59" t="s">
        <v>85</v>
      </c>
      <c r="C585" s="41">
        <v>14.7</v>
      </c>
      <c r="D585" s="41">
        <v>144</v>
      </c>
      <c r="E585" s="41">
        <v>16.100000000000001</v>
      </c>
      <c r="F585" s="41">
        <v>148</v>
      </c>
    </row>
    <row r="586" spans="1:6" ht="15" x14ac:dyDescent="0.25">
      <c r="A586" s="41"/>
      <c r="B586" s="59" t="s">
        <v>102</v>
      </c>
      <c r="C586" s="41">
        <v>14.4</v>
      </c>
      <c r="D586" s="41">
        <v>146</v>
      </c>
      <c r="E586" s="41">
        <v>16.8</v>
      </c>
      <c r="F586" s="41">
        <v>148</v>
      </c>
    </row>
    <row r="587" spans="1:6" ht="15" x14ac:dyDescent="0.25">
      <c r="A587" s="41"/>
      <c r="B587" s="59" t="s">
        <v>103</v>
      </c>
      <c r="C587" s="41">
        <v>19.899999999999999</v>
      </c>
      <c r="D587" s="41">
        <v>148</v>
      </c>
      <c r="E587" s="41">
        <v>23</v>
      </c>
      <c r="F587" s="41">
        <v>150</v>
      </c>
    </row>
    <row r="588" spans="1:6" ht="15" x14ac:dyDescent="0.25">
      <c r="A588" s="41" t="s">
        <v>461</v>
      </c>
      <c r="B588" s="59" t="s">
        <v>85</v>
      </c>
      <c r="C588" s="41">
        <v>28.4</v>
      </c>
      <c r="D588" s="41">
        <v>144</v>
      </c>
      <c r="E588" s="41">
        <v>26.5</v>
      </c>
      <c r="F588" s="41">
        <v>148</v>
      </c>
    </row>
    <row r="589" spans="1:6" ht="15" x14ac:dyDescent="0.25">
      <c r="A589" s="41"/>
      <c r="B589" s="59" t="s">
        <v>102</v>
      </c>
      <c r="C589" s="41" t="s">
        <v>100</v>
      </c>
      <c r="D589" s="41" t="s">
        <v>100</v>
      </c>
      <c r="E589" s="41" t="s">
        <v>100</v>
      </c>
      <c r="F589" s="41" t="s">
        <v>100</v>
      </c>
    </row>
    <row r="590" spans="1:6" ht="15" x14ac:dyDescent="0.25">
      <c r="A590" s="41"/>
      <c r="B590" s="59" t="s">
        <v>103</v>
      </c>
      <c r="C590" s="41" t="s">
        <v>100</v>
      </c>
      <c r="D590" s="41" t="s">
        <v>100</v>
      </c>
      <c r="E590" s="41" t="s">
        <v>100</v>
      </c>
      <c r="F590" s="41" t="s">
        <v>100</v>
      </c>
    </row>
    <row r="591" spans="1:6" ht="15" x14ac:dyDescent="0.25">
      <c r="A591" s="41" t="s">
        <v>464</v>
      </c>
      <c r="B591" s="59" t="s">
        <v>85</v>
      </c>
      <c r="C591" s="41">
        <v>17.5</v>
      </c>
      <c r="D591" s="41">
        <v>146</v>
      </c>
      <c r="E591" s="41">
        <v>20.3</v>
      </c>
      <c r="F591" s="41">
        <v>148</v>
      </c>
    </row>
    <row r="592" spans="1:6" ht="15" x14ac:dyDescent="0.25">
      <c r="A592" s="41" t="s">
        <v>463</v>
      </c>
      <c r="B592" s="59" t="s">
        <v>85</v>
      </c>
      <c r="C592" s="41">
        <v>25.4</v>
      </c>
      <c r="D592" s="41">
        <v>148</v>
      </c>
      <c r="E592" s="41">
        <v>21.5</v>
      </c>
      <c r="F592" s="41">
        <v>150</v>
      </c>
    </row>
    <row r="593" spans="1:6" ht="15" x14ac:dyDescent="0.25">
      <c r="A593" s="41"/>
      <c r="B593" s="59" t="s">
        <v>102</v>
      </c>
      <c r="C593" s="41">
        <v>23.2</v>
      </c>
      <c r="D593" s="41">
        <v>148</v>
      </c>
      <c r="E593" s="41">
        <v>21.7</v>
      </c>
      <c r="F593" s="41">
        <v>150</v>
      </c>
    </row>
    <row r="594" spans="1:6" ht="15" x14ac:dyDescent="0.25">
      <c r="A594" s="41"/>
      <c r="B594" s="59" t="s">
        <v>103</v>
      </c>
      <c r="C594" s="41">
        <v>21.5</v>
      </c>
      <c r="D594" s="41">
        <v>146</v>
      </c>
      <c r="E594" s="41">
        <v>23.4</v>
      </c>
      <c r="F594" s="41">
        <v>148</v>
      </c>
    </row>
    <row r="595" spans="1:6" ht="15" x14ac:dyDescent="0.25">
      <c r="A595" s="41" t="s">
        <v>462</v>
      </c>
      <c r="B595" s="59" t="s">
        <v>85</v>
      </c>
      <c r="C595" s="41">
        <v>21.1</v>
      </c>
      <c r="D595" s="41">
        <v>146</v>
      </c>
      <c r="E595" s="41">
        <v>29.1</v>
      </c>
      <c r="F595" s="41">
        <v>148</v>
      </c>
    </row>
    <row r="596" spans="1:6" ht="15" x14ac:dyDescent="0.25">
      <c r="A596" s="41"/>
      <c r="B596" s="59" t="s">
        <v>102</v>
      </c>
      <c r="C596" s="41">
        <v>23.6</v>
      </c>
      <c r="D596" s="41">
        <v>146</v>
      </c>
      <c r="E596" s="41">
        <v>17.8</v>
      </c>
      <c r="F596" s="41">
        <v>148</v>
      </c>
    </row>
    <row r="597" spans="1:6" ht="15" x14ac:dyDescent="0.25">
      <c r="A597" s="41"/>
      <c r="B597" s="59" t="s">
        <v>103</v>
      </c>
      <c r="C597" s="41">
        <v>20.399999999999999</v>
      </c>
      <c r="D597" s="41">
        <v>144</v>
      </c>
      <c r="E597" s="41">
        <v>21.7</v>
      </c>
      <c r="F597" s="41">
        <v>148</v>
      </c>
    </row>
    <row r="598" spans="1:6" ht="15" x14ac:dyDescent="0.25">
      <c r="A598" s="41" t="s">
        <v>465</v>
      </c>
      <c r="B598" s="59" t="s">
        <v>85</v>
      </c>
      <c r="C598" s="41">
        <v>19.3</v>
      </c>
      <c r="D598" s="41">
        <v>146</v>
      </c>
      <c r="E598" s="41">
        <v>16.399999999999999</v>
      </c>
      <c r="F598" s="41">
        <v>148</v>
      </c>
    </row>
    <row r="599" spans="1:6" ht="15" x14ac:dyDescent="0.25">
      <c r="A599" s="41"/>
      <c r="B599" s="59" t="s">
        <v>102</v>
      </c>
      <c r="C599" s="41">
        <v>17.3</v>
      </c>
      <c r="D599" s="41">
        <v>144</v>
      </c>
      <c r="E599" s="41">
        <v>16.100000000000001</v>
      </c>
      <c r="F599" s="41">
        <v>146</v>
      </c>
    </row>
    <row r="600" spans="1:6" ht="15" x14ac:dyDescent="0.25">
      <c r="A600" s="41"/>
      <c r="B600" s="59" t="s">
        <v>103</v>
      </c>
      <c r="C600" s="41">
        <v>17.5</v>
      </c>
      <c r="D600" s="41">
        <v>146</v>
      </c>
      <c r="E600" s="41">
        <v>18.7</v>
      </c>
      <c r="F600" s="41">
        <v>146</v>
      </c>
    </row>
    <row r="601" spans="1:6" ht="15" x14ac:dyDescent="0.25">
      <c r="A601" s="41" t="s">
        <v>467</v>
      </c>
      <c r="B601" s="59" t="s">
        <v>85</v>
      </c>
      <c r="C601" s="41">
        <v>21.7</v>
      </c>
      <c r="D601" s="41">
        <v>146</v>
      </c>
      <c r="E601" s="41">
        <v>16.3</v>
      </c>
      <c r="F601" s="41">
        <v>150</v>
      </c>
    </row>
    <row r="602" spans="1:6" ht="15" x14ac:dyDescent="0.25">
      <c r="A602" s="41"/>
      <c r="B602" s="59" t="s">
        <v>102</v>
      </c>
      <c r="C602" s="41">
        <v>17.2</v>
      </c>
      <c r="D602" s="41">
        <v>146</v>
      </c>
      <c r="E602" s="41">
        <v>17.600000000000001</v>
      </c>
      <c r="F602" s="41">
        <v>148</v>
      </c>
    </row>
    <row r="603" spans="1:6" ht="15" x14ac:dyDescent="0.25">
      <c r="A603" s="41"/>
      <c r="B603" s="59" t="s">
        <v>103</v>
      </c>
      <c r="C603" s="41">
        <v>19.2</v>
      </c>
      <c r="D603" s="41">
        <v>146</v>
      </c>
      <c r="E603" s="41">
        <v>20.2</v>
      </c>
      <c r="F603" s="41">
        <v>144</v>
      </c>
    </row>
    <row r="604" spans="1:6" ht="15" x14ac:dyDescent="0.25">
      <c r="A604" s="41" t="s">
        <v>468</v>
      </c>
      <c r="B604" s="59" t="s">
        <v>85</v>
      </c>
      <c r="C604" s="41">
        <v>16.600000000000001</v>
      </c>
      <c r="D604" s="41">
        <v>144</v>
      </c>
      <c r="E604" s="41">
        <v>20.399999999999999</v>
      </c>
      <c r="F604" s="41">
        <v>146</v>
      </c>
    </row>
    <row r="605" spans="1:6" ht="15" x14ac:dyDescent="0.25">
      <c r="A605" s="41"/>
      <c r="B605" s="59" t="s">
        <v>102</v>
      </c>
      <c r="C605" s="41"/>
      <c r="D605" s="41"/>
      <c r="E605" s="41"/>
      <c r="F605" s="41"/>
    </row>
    <row r="606" spans="1:6" ht="15" x14ac:dyDescent="0.25">
      <c r="A606" s="41"/>
      <c r="B606" s="59" t="s">
        <v>103</v>
      </c>
      <c r="C606" s="41">
        <v>18.7</v>
      </c>
      <c r="D606" s="41">
        <v>146</v>
      </c>
      <c r="E606" s="41">
        <v>21</v>
      </c>
      <c r="F606" s="41">
        <v>150</v>
      </c>
    </row>
    <row r="607" spans="1:6" ht="15" x14ac:dyDescent="0.25">
      <c r="A607" s="41" t="s">
        <v>469</v>
      </c>
      <c r="B607" s="59" t="s">
        <v>85</v>
      </c>
      <c r="C607" s="41">
        <v>20.7</v>
      </c>
      <c r="D607" s="41">
        <v>144</v>
      </c>
      <c r="E607" s="41">
        <v>21.1</v>
      </c>
      <c r="F607" s="41">
        <v>148</v>
      </c>
    </row>
    <row r="608" spans="1:6" ht="15" x14ac:dyDescent="0.25">
      <c r="A608" s="41"/>
      <c r="B608" s="59" t="s">
        <v>102</v>
      </c>
      <c r="C608" s="41">
        <v>29.8</v>
      </c>
      <c r="D608" s="41">
        <v>144</v>
      </c>
      <c r="E608" s="41">
        <v>21</v>
      </c>
      <c r="F608" s="41">
        <v>146</v>
      </c>
    </row>
    <row r="609" spans="1:6" ht="15" x14ac:dyDescent="0.25">
      <c r="A609" s="41"/>
      <c r="B609" s="59" t="s">
        <v>103</v>
      </c>
      <c r="C609" s="41">
        <v>22.4</v>
      </c>
      <c r="D609" s="41">
        <v>142</v>
      </c>
      <c r="E609" s="41">
        <v>28.4</v>
      </c>
      <c r="F609" s="41">
        <v>144</v>
      </c>
    </row>
    <row r="610" spans="1:6" ht="15" x14ac:dyDescent="0.25">
      <c r="A610" s="41" t="s">
        <v>470</v>
      </c>
      <c r="B610" s="59" t="s">
        <v>85</v>
      </c>
      <c r="C610" s="41">
        <v>15.5</v>
      </c>
      <c r="D610" s="41">
        <v>140</v>
      </c>
      <c r="E610" s="41">
        <v>15.9</v>
      </c>
      <c r="F610" s="41">
        <v>140</v>
      </c>
    </row>
    <row r="611" spans="1:6" ht="15" x14ac:dyDescent="0.25">
      <c r="A611" s="41"/>
      <c r="B611" s="59" t="s">
        <v>102</v>
      </c>
      <c r="C611" s="41">
        <v>23.4</v>
      </c>
      <c r="D611" s="41">
        <v>142</v>
      </c>
      <c r="E611" s="41">
        <v>23.2</v>
      </c>
      <c r="F611" s="41">
        <v>140</v>
      </c>
    </row>
    <row r="612" spans="1:6" ht="15" x14ac:dyDescent="0.25">
      <c r="A612" s="41"/>
      <c r="B612" s="59" t="s">
        <v>103</v>
      </c>
      <c r="C612" s="41">
        <v>17.5</v>
      </c>
      <c r="D612" s="41">
        <v>144</v>
      </c>
      <c r="E612" s="41">
        <v>19.399999999999999</v>
      </c>
      <c r="F612" s="41">
        <v>142</v>
      </c>
    </row>
    <row r="613" spans="1:6" ht="15" x14ac:dyDescent="0.25">
      <c r="A613" s="41" t="s">
        <v>471</v>
      </c>
      <c r="B613" s="59" t="s">
        <v>85</v>
      </c>
      <c r="C613" s="41">
        <v>19.399999999999999</v>
      </c>
      <c r="D613" s="41">
        <v>142</v>
      </c>
      <c r="E613" s="41">
        <v>17.600000000000001</v>
      </c>
      <c r="F613" s="41">
        <v>144</v>
      </c>
    </row>
    <row r="614" spans="1:6" ht="15" x14ac:dyDescent="0.25">
      <c r="A614" s="41"/>
      <c r="B614" s="59" t="s">
        <v>102</v>
      </c>
      <c r="C614" s="41">
        <v>18.600000000000001</v>
      </c>
      <c r="D614" s="41">
        <v>142</v>
      </c>
      <c r="E614" s="41">
        <v>22.5</v>
      </c>
      <c r="F614" s="41">
        <v>144</v>
      </c>
    </row>
    <row r="615" spans="1:6" ht="15" x14ac:dyDescent="0.25">
      <c r="A615" s="41"/>
      <c r="B615" s="59" t="s">
        <v>103</v>
      </c>
      <c r="C615" s="41">
        <v>18.2</v>
      </c>
      <c r="D615" s="41">
        <v>140</v>
      </c>
      <c r="E615" s="41">
        <v>22</v>
      </c>
      <c r="F615" s="41">
        <v>144</v>
      </c>
    </row>
    <row r="616" spans="1:6" ht="15" x14ac:dyDescent="0.25">
      <c r="A616" s="41" t="s">
        <v>472</v>
      </c>
      <c r="B616" s="59" t="s">
        <v>85</v>
      </c>
      <c r="C616" s="41">
        <v>20.6</v>
      </c>
      <c r="D616" s="41">
        <v>144</v>
      </c>
      <c r="E616" s="41">
        <v>27.1</v>
      </c>
      <c r="F616" s="41">
        <v>148</v>
      </c>
    </row>
    <row r="617" spans="1:6" ht="15" x14ac:dyDescent="0.25">
      <c r="A617" s="41"/>
      <c r="B617" s="59" t="s">
        <v>102</v>
      </c>
      <c r="C617" s="41">
        <v>18.399999999999999</v>
      </c>
      <c r="D617" s="41">
        <v>146</v>
      </c>
      <c r="E617" s="41">
        <v>20.100000000000001</v>
      </c>
      <c r="F617" s="41">
        <v>148</v>
      </c>
    </row>
    <row r="618" spans="1:6" ht="15" x14ac:dyDescent="0.25">
      <c r="A618" s="41"/>
      <c r="B618" s="59" t="s">
        <v>103</v>
      </c>
      <c r="C618" s="41">
        <v>19.5</v>
      </c>
      <c r="D618" s="41">
        <v>144</v>
      </c>
      <c r="E618" s="41">
        <v>21.2</v>
      </c>
      <c r="F618" s="41">
        <v>146</v>
      </c>
    </row>
    <row r="619" spans="1:6" ht="15" x14ac:dyDescent="0.25">
      <c r="A619" s="41" t="s">
        <v>473</v>
      </c>
      <c r="B619" s="59" t="s">
        <v>85</v>
      </c>
      <c r="C619" s="41">
        <v>24.8</v>
      </c>
      <c r="D619" s="41">
        <v>144</v>
      </c>
      <c r="E619" s="41">
        <v>21.4</v>
      </c>
      <c r="F619" s="41">
        <v>146</v>
      </c>
    </row>
    <row r="620" spans="1:6" ht="15" x14ac:dyDescent="0.25">
      <c r="A620" s="41"/>
      <c r="B620" s="59" t="s">
        <v>102</v>
      </c>
      <c r="C620" s="41">
        <v>19.2</v>
      </c>
      <c r="D620" s="41">
        <v>144</v>
      </c>
      <c r="E620" s="41">
        <v>18.399999999999999</v>
      </c>
      <c r="F620" s="41">
        <v>146</v>
      </c>
    </row>
    <row r="621" spans="1:6" ht="15" x14ac:dyDescent="0.25">
      <c r="A621" s="41"/>
      <c r="B621" s="59" t="s">
        <v>103</v>
      </c>
      <c r="C621" s="41">
        <v>21</v>
      </c>
      <c r="D621" s="41">
        <v>142</v>
      </c>
      <c r="E621" s="41">
        <v>21.9</v>
      </c>
      <c r="F621" s="41">
        <v>144</v>
      </c>
    </row>
    <row r="622" spans="1:6" ht="15" x14ac:dyDescent="0.25">
      <c r="A622" s="41" t="s">
        <v>474</v>
      </c>
      <c r="B622" s="59" t="s">
        <v>85</v>
      </c>
      <c r="C622" s="41">
        <v>21.1</v>
      </c>
      <c r="D622" s="41">
        <v>144</v>
      </c>
      <c r="E622" s="41">
        <v>17</v>
      </c>
      <c r="F622" s="41">
        <v>146</v>
      </c>
    </row>
    <row r="623" spans="1:6" ht="15" x14ac:dyDescent="0.25">
      <c r="A623" s="41"/>
      <c r="B623" s="59" t="s">
        <v>102</v>
      </c>
      <c r="C623" s="41">
        <v>25.9</v>
      </c>
      <c r="D623" s="41">
        <v>146</v>
      </c>
      <c r="E623" s="41">
        <v>23.5</v>
      </c>
      <c r="F623" s="41">
        <v>148</v>
      </c>
    </row>
    <row r="624" spans="1:6" ht="15" x14ac:dyDescent="0.25">
      <c r="A624" s="41"/>
      <c r="B624" s="59" t="s">
        <v>103</v>
      </c>
      <c r="C624" s="41">
        <v>21.2</v>
      </c>
      <c r="D624" s="41">
        <v>146</v>
      </c>
      <c r="E624" s="41">
        <v>22.8</v>
      </c>
      <c r="F624" s="41">
        <v>148</v>
      </c>
    </row>
    <row r="625" spans="1:6" ht="15" x14ac:dyDescent="0.25">
      <c r="A625" s="41" t="s">
        <v>476</v>
      </c>
      <c r="B625" s="59" t="s">
        <v>85</v>
      </c>
      <c r="C625" s="41">
        <v>14.9</v>
      </c>
      <c r="D625" s="41">
        <v>144</v>
      </c>
      <c r="E625" s="41">
        <v>16.100000000000001</v>
      </c>
      <c r="F625" s="41">
        <v>146</v>
      </c>
    </row>
    <row r="626" spans="1:6" ht="15" x14ac:dyDescent="0.25">
      <c r="A626" s="41"/>
      <c r="B626" s="59" t="s">
        <v>102</v>
      </c>
      <c r="C626" s="41">
        <v>20.100000000000001</v>
      </c>
      <c r="D626" s="41">
        <v>144</v>
      </c>
      <c r="E626" s="41">
        <v>12.1</v>
      </c>
      <c r="F626" s="41">
        <v>146</v>
      </c>
    </row>
    <row r="627" spans="1:6" ht="15" x14ac:dyDescent="0.25">
      <c r="A627" s="41"/>
      <c r="B627" s="59" t="s">
        <v>103</v>
      </c>
      <c r="C627" s="41">
        <v>22.6</v>
      </c>
      <c r="D627" s="41">
        <v>148</v>
      </c>
      <c r="E627" s="41">
        <v>23.2</v>
      </c>
      <c r="F627" s="41">
        <v>148</v>
      </c>
    </row>
    <row r="628" spans="1:6" ht="15" x14ac:dyDescent="0.25">
      <c r="A628" s="41" t="s">
        <v>477</v>
      </c>
      <c r="B628" s="59" t="s">
        <v>85</v>
      </c>
      <c r="C628" s="41">
        <v>14.8</v>
      </c>
      <c r="D628" s="41">
        <v>148</v>
      </c>
      <c r="E628" s="41">
        <v>13.5</v>
      </c>
      <c r="F628" s="41">
        <v>150</v>
      </c>
    </row>
    <row r="629" spans="1:6" ht="15" x14ac:dyDescent="0.25">
      <c r="A629" s="41"/>
      <c r="B629" s="59" t="s">
        <v>102</v>
      </c>
      <c r="C629" s="41">
        <v>16.7</v>
      </c>
      <c r="D629" s="41">
        <v>148</v>
      </c>
      <c r="E629" s="41">
        <v>23</v>
      </c>
      <c r="F629" s="41">
        <v>150</v>
      </c>
    </row>
    <row r="630" spans="1:6" ht="15" x14ac:dyDescent="0.25">
      <c r="A630" s="41"/>
      <c r="B630" s="59" t="s">
        <v>103</v>
      </c>
      <c r="C630" s="41">
        <v>16.3</v>
      </c>
      <c r="D630" s="41">
        <v>146</v>
      </c>
      <c r="E630" s="41">
        <v>17.600000000000001</v>
      </c>
      <c r="F630" s="41">
        <v>148</v>
      </c>
    </row>
    <row r="631" spans="1:6" ht="15" x14ac:dyDescent="0.25">
      <c r="A631" s="41" t="s">
        <v>478</v>
      </c>
      <c r="B631" s="59" t="s">
        <v>85</v>
      </c>
      <c r="C631" s="41">
        <v>28.4</v>
      </c>
      <c r="D631" s="41">
        <v>154</v>
      </c>
      <c r="E631" s="41">
        <v>18.2</v>
      </c>
      <c r="F631" s="41">
        <v>146</v>
      </c>
    </row>
    <row r="632" spans="1:6" ht="15" x14ac:dyDescent="0.25">
      <c r="A632" s="41"/>
      <c r="B632" s="59" t="s">
        <v>102</v>
      </c>
      <c r="C632" s="41">
        <v>12.1</v>
      </c>
      <c r="D632" s="41">
        <v>148</v>
      </c>
      <c r="E632" s="41">
        <v>15.9</v>
      </c>
      <c r="F632" s="41">
        <v>148</v>
      </c>
    </row>
    <row r="633" spans="1:6" ht="15" x14ac:dyDescent="0.25">
      <c r="A633" s="41"/>
      <c r="B633" s="59" t="s">
        <v>103</v>
      </c>
      <c r="C633" s="41">
        <v>14.4</v>
      </c>
      <c r="D633" s="41">
        <v>146</v>
      </c>
      <c r="E633" s="41">
        <v>15.5</v>
      </c>
      <c r="F633" s="41">
        <v>148</v>
      </c>
    </row>
    <row r="634" spans="1:6" ht="15" x14ac:dyDescent="0.25">
      <c r="A634" s="41" t="s">
        <v>479</v>
      </c>
      <c r="B634" s="59" t="s">
        <v>85</v>
      </c>
      <c r="C634" s="41" t="s">
        <v>100</v>
      </c>
      <c r="D634" s="41" t="s">
        <v>100</v>
      </c>
      <c r="E634" s="41" t="s">
        <v>100</v>
      </c>
      <c r="F634" s="41" t="s">
        <v>100</v>
      </c>
    </row>
    <row r="635" spans="1:6" ht="15" x14ac:dyDescent="0.25">
      <c r="A635" s="41"/>
      <c r="B635" s="59" t="s">
        <v>102</v>
      </c>
      <c r="C635" s="41">
        <v>19.3</v>
      </c>
      <c r="D635" s="41">
        <v>148</v>
      </c>
      <c r="E635" s="41">
        <v>18</v>
      </c>
      <c r="F635" s="41">
        <v>150</v>
      </c>
    </row>
    <row r="636" spans="1:6" ht="15" x14ac:dyDescent="0.25">
      <c r="A636" s="41"/>
      <c r="B636" s="59" t="s">
        <v>103</v>
      </c>
      <c r="C636" s="41">
        <v>19.8</v>
      </c>
      <c r="D636" s="41">
        <v>146</v>
      </c>
      <c r="E636" s="41">
        <v>18.2</v>
      </c>
      <c r="F636" s="41">
        <v>148</v>
      </c>
    </row>
    <row r="637" spans="1:6" ht="15" x14ac:dyDescent="0.25">
      <c r="A637" s="41" t="s">
        <v>480</v>
      </c>
      <c r="B637" s="59" t="s">
        <v>85</v>
      </c>
      <c r="C637" s="41">
        <v>17.899999999999999</v>
      </c>
      <c r="D637" s="41">
        <v>146</v>
      </c>
      <c r="E637" s="41">
        <v>21.9</v>
      </c>
      <c r="F637" s="41">
        <v>150</v>
      </c>
    </row>
    <row r="638" spans="1:6" ht="15" x14ac:dyDescent="0.25">
      <c r="A638" s="41"/>
      <c r="B638" s="59" t="s">
        <v>102</v>
      </c>
      <c r="C638" s="41">
        <v>24.8</v>
      </c>
      <c r="D638" s="41">
        <v>146</v>
      </c>
      <c r="E638" s="41">
        <v>20.2</v>
      </c>
      <c r="F638" s="41">
        <v>150</v>
      </c>
    </row>
    <row r="639" spans="1:6" ht="15" x14ac:dyDescent="0.25">
      <c r="A639" s="41"/>
      <c r="B639" s="59" t="s">
        <v>103</v>
      </c>
      <c r="C639" s="41">
        <v>22</v>
      </c>
      <c r="D639" s="41">
        <v>146</v>
      </c>
      <c r="E639" s="41">
        <v>19</v>
      </c>
      <c r="F639" s="41">
        <v>150</v>
      </c>
    </row>
    <row r="640" spans="1:6" ht="15" x14ac:dyDescent="0.25">
      <c r="A640" s="41" t="s">
        <v>481</v>
      </c>
      <c r="B640" s="59" t="s">
        <v>85</v>
      </c>
      <c r="C640" s="41">
        <v>17.8</v>
      </c>
      <c r="D640" s="41">
        <v>147</v>
      </c>
      <c r="E640" s="41">
        <v>20.5</v>
      </c>
      <c r="F640" s="41">
        <v>152</v>
      </c>
    </row>
    <row r="641" spans="1:6" ht="15" x14ac:dyDescent="0.25">
      <c r="A641" s="41"/>
      <c r="B641" s="59" t="s">
        <v>102</v>
      </c>
      <c r="C641" s="41">
        <v>18.600000000000001</v>
      </c>
      <c r="D641" s="41">
        <v>148</v>
      </c>
      <c r="E641" s="41">
        <v>19.8</v>
      </c>
      <c r="F641" s="41">
        <v>150</v>
      </c>
    </row>
    <row r="642" spans="1:6" ht="15" x14ac:dyDescent="0.25">
      <c r="A642" s="41"/>
      <c r="B642" s="59" t="s">
        <v>103</v>
      </c>
      <c r="C642" s="41">
        <v>19.399999999999999</v>
      </c>
      <c r="D642" s="41">
        <v>144</v>
      </c>
      <c r="E642" s="41">
        <v>20.2</v>
      </c>
      <c r="F642" s="41">
        <v>146</v>
      </c>
    </row>
    <row r="643" spans="1:6" ht="15" x14ac:dyDescent="0.25">
      <c r="A643" s="41" t="s">
        <v>482</v>
      </c>
      <c r="B643" s="59" t="s">
        <v>85</v>
      </c>
      <c r="C643" s="41">
        <v>22.5</v>
      </c>
      <c r="D643" s="41">
        <v>146</v>
      </c>
      <c r="E643" s="41">
        <v>23.4</v>
      </c>
      <c r="F643" s="41">
        <v>148</v>
      </c>
    </row>
    <row r="644" spans="1:6" ht="15" x14ac:dyDescent="0.25">
      <c r="A644" s="41"/>
      <c r="B644" s="59" t="s">
        <v>102</v>
      </c>
      <c r="C644" s="41">
        <v>16.2</v>
      </c>
      <c r="D644" s="41">
        <v>146</v>
      </c>
      <c r="E644" s="41">
        <v>14.8</v>
      </c>
      <c r="F644" s="41">
        <v>148</v>
      </c>
    </row>
    <row r="645" spans="1:6" ht="15" x14ac:dyDescent="0.25">
      <c r="A645" s="41"/>
      <c r="B645" s="59" t="s">
        <v>103</v>
      </c>
      <c r="C645" s="41" t="s">
        <v>100</v>
      </c>
      <c r="D645" s="41" t="s">
        <v>100</v>
      </c>
      <c r="E645" s="41" t="s">
        <v>100</v>
      </c>
      <c r="F645" s="41" t="s">
        <v>100</v>
      </c>
    </row>
    <row r="646" spans="1:6" ht="15" x14ac:dyDescent="0.25">
      <c r="A646" s="41" t="s">
        <v>484</v>
      </c>
      <c r="B646" s="59" t="s">
        <v>85</v>
      </c>
      <c r="C646" s="41">
        <v>20.399999999999999</v>
      </c>
      <c r="D646" s="41">
        <v>148</v>
      </c>
      <c r="E646" s="41">
        <v>22.3</v>
      </c>
      <c r="F646" s="41">
        <v>150</v>
      </c>
    </row>
    <row r="647" spans="1:6" ht="15" x14ac:dyDescent="0.25">
      <c r="A647" s="41"/>
      <c r="B647" s="59" t="s">
        <v>102</v>
      </c>
      <c r="C647" s="41">
        <v>26.7</v>
      </c>
      <c r="D647" s="41">
        <v>146</v>
      </c>
      <c r="E647" s="41">
        <v>22.3</v>
      </c>
      <c r="F647" s="41">
        <v>148</v>
      </c>
    </row>
    <row r="648" spans="1:6" ht="15" x14ac:dyDescent="0.25">
      <c r="A648" s="41"/>
      <c r="B648" s="59" t="s">
        <v>103</v>
      </c>
      <c r="C648" s="41">
        <v>20.3</v>
      </c>
      <c r="D648" s="41">
        <v>146</v>
      </c>
      <c r="E648" s="41">
        <v>21.5</v>
      </c>
      <c r="F648" s="41">
        <v>146</v>
      </c>
    </row>
    <row r="649" spans="1:6" ht="15" x14ac:dyDescent="0.25">
      <c r="A649" s="41" t="s">
        <v>485</v>
      </c>
      <c r="B649" s="59" t="s">
        <v>85</v>
      </c>
      <c r="C649" s="41">
        <v>20.9</v>
      </c>
      <c r="D649" s="41">
        <v>148</v>
      </c>
      <c r="E649" s="41">
        <v>23.6</v>
      </c>
      <c r="F649" s="41">
        <v>150</v>
      </c>
    </row>
    <row r="650" spans="1:6" ht="15" x14ac:dyDescent="0.25">
      <c r="A650" s="41"/>
      <c r="B650" s="59" t="s">
        <v>102</v>
      </c>
      <c r="C650" s="41">
        <v>19.5</v>
      </c>
      <c r="D650" s="41">
        <v>146</v>
      </c>
      <c r="E650" s="41">
        <v>21.7</v>
      </c>
      <c r="F650" s="41">
        <v>148</v>
      </c>
    </row>
    <row r="651" spans="1:6" ht="15" x14ac:dyDescent="0.25">
      <c r="A651" s="41"/>
      <c r="B651" s="59" t="s">
        <v>103</v>
      </c>
      <c r="C651" s="41">
        <v>20.6</v>
      </c>
      <c r="D651" s="41">
        <v>142</v>
      </c>
      <c r="E651" s="41">
        <v>21.6</v>
      </c>
      <c r="F651" s="41">
        <v>147</v>
      </c>
    </row>
    <row r="652" spans="1:6" ht="15" x14ac:dyDescent="0.25">
      <c r="A652" s="41" t="s">
        <v>486</v>
      </c>
      <c r="B652" s="59" t="s">
        <v>85</v>
      </c>
      <c r="C652" s="41">
        <v>17.5</v>
      </c>
      <c r="D652" s="41">
        <v>146</v>
      </c>
      <c r="E652" s="41">
        <v>20.9</v>
      </c>
      <c r="F652" s="41">
        <v>150</v>
      </c>
    </row>
    <row r="653" spans="1:6" ht="15" x14ac:dyDescent="0.25">
      <c r="A653" s="41"/>
      <c r="B653" s="59" t="s">
        <v>102</v>
      </c>
      <c r="C653" s="41">
        <v>17.8</v>
      </c>
      <c r="D653" s="41">
        <v>146</v>
      </c>
      <c r="E653" s="41">
        <v>24.4</v>
      </c>
      <c r="F653" s="41">
        <v>148</v>
      </c>
    </row>
    <row r="654" spans="1:6" ht="15" x14ac:dyDescent="0.25">
      <c r="A654" s="41"/>
      <c r="B654" s="59" t="s">
        <v>103</v>
      </c>
      <c r="C654" s="41">
        <v>18</v>
      </c>
      <c r="D654" s="41">
        <v>146</v>
      </c>
      <c r="E654" s="41">
        <v>22.9</v>
      </c>
      <c r="F654" s="41">
        <v>148</v>
      </c>
    </row>
    <row r="655" spans="1:6" ht="15" x14ac:dyDescent="0.25">
      <c r="A655" s="41" t="s">
        <v>487</v>
      </c>
      <c r="B655" s="59" t="s">
        <v>85</v>
      </c>
      <c r="C655" s="41">
        <v>14.6</v>
      </c>
      <c r="D655" s="41">
        <v>144</v>
      </c>
      <c r="E655" s="41">
        <v>13.9</v>
      </c>
      <c r="F655" s="41">
        <v>148</v>
      </c>
    </row>
    <row r="656" spans="1:6" ht="15" x14ac:dyDescent="0.25">
      <c r="A656" s="41"/>
      <c r="B656" s="59" t="s">
        <v>102</v>
      </c>
      <c r="C656" s="41">
        <v>13.7</v>
      </c>
      <c r="D656" s="41">
        <v>146</v>
      </c>
      <c r="E656" s="41">
        <v>17.600000000000001</v>
      </c>
      <c r="F656" s="41">
        <v>148</v>
      </c>
    </row>
    <row r="657" spans="1:6" ht="15" x14ac:dyDescent="0.25">
      <c r="A657" s="41"/>
      <c r="B657" s="59" t="s">
        <v>103</v>
      </c>
      <c r="C657" s="41">
        <v>16.2</v>
      </c>
      <c r="D657" s="41">
        <v>146</v>
      </c>
      <c r="E657" s="41">
        <v>18</v>
      </c>
      <c r="F657" s="41">
        <v>148</v>
      </c>
    </row>
    <row r="658" spans="1:6" ht="15" x14ac:dyDescent="0.25">
      <c r="A658" s="41" t="s">
        <v>488</v>
      </c>
      <c r="B658" s="59" t="s">
        <v>85</v>
      </c>
      <c r="C658" s="41">
        <v>22.7</v>
      </c>
      <c r="D658" s="41">
        <v>144</v>
      </c>
      <c r="E658" s="41">
        <v>19.2</v>
      </c>
      <c r="F658" s="41">
        <v>146</v>
      </c>
    </row>
    <row r="659" spans="1:6" ht="15" x14ac:dyDescent="0.25">
      <c r="A659" s="41"/>
      <c r="B659" s="59" t="s">
        <v>102</v>
      </c>
      <c r="C659" s="41">
        <v>18.3</v>
      </c>
      <c r="D659" s="41">
        <v>144</v>
      </c>
      <c r="E659" s="41">
        <v>18.399999999999999</v>
      </c>
      <c r="F659" s="41">
        <v>146</v>
      </c>
    </row>
    <row r="660" spans="1:6" ht="15" x14ac:dyDescent="0.25">
      <c r="A660" s="41"/>
      <c r="B660" s="59" t="s">
        <v>103</v>
      </c>
      <c r="C660" s="41">
        <v>20.7</v>
      </c>
      <c r="D660" s="41">
        <v>144</v>
      </c>
      <c r="E660" s="41">
        <v>21.1</v>
      </c>
      <c r="F660" s="41">
        <v>146</v>
      </c>
    </row>
    <row r="661" spans="1:6" ht="15" x14ac:dyDescent="0.25">
      <c r="A661" s="41" t="s">
        <v>489</v>
      </c>
      <c r="B661" s="59" t="s">
        <v>85</v>
      </c>
      <c r="C661" s="41">
        <v>29.4</v>
      </c>
      <c r="D661" s="41">
        <v>146</v>
      </c>
      <c r="E661" s="41">
        <v>23.7</v>
      </c>
      <c r="F661" s="41">
        <v>148</v>
      </c>
    </row>
    <row r="662" spans="1:6" ht="15" x14ac:dyDescent="0.25">
      <c r="A662" s="41"/>
      <c r="B662" s="59" t="s">
        <v>102</v>
      </c>
      <c r="C662" s="41">
        <v>28.7</v>
      </c>
      <c r="D662" s="41">
        <v>146</v>
      </c>
      <c r="E662" s="41">
        <v>19.5</v>
      </c>
      <c r="F662" s="41">
        <v>148</v>
      </c>
    </row>
    <row r="663" spans="1:6" ht="15" x14ac:dyDescent="0.25">
      <c r="A663" s="41"/>
      <c r="B663" s="59" t="s">
        <v>103</v>
      </c>
      <c r="C663" s="41">
        <v>24.8</v>
      </c>
      <c r="D663" s="41">
        <v>146</v>
      </c>
      <c r="E663" s="41">
        <v>25.2</v>
      </c>
      <c r="F663" s="41">
        <v>148</v>
      </c>
    </row>
    <row r="664" spans="1:6" ht="15" x14ac:dyDescent="0.25">
      <c r="A664" s="41" t="s">
        <v>490</v>
      </c>
      <c r="B664" s="59" t="s">
        <v>85</v>
      </c>
      <c r="C664" s="41">
        <v>18.600000000000001</v>
      </c>
      <c r="D664" s="41">
        <v>144</v>
      </c>
      <c r="E664" s="41">
        <v>22.2</v>
      </c>
      <c r="F664" s="41">
        <v>147</v>
      </c>
    </row>
    <row r="665" spans="1:6" ht="15" x14ac:dyDescent="0.25">
      <c r="A665" s="41"/>
      <c r="B665" s="59" t="s">
        <v>102</v>
      </c>
      <c r="C665" s="41">
        <v>17.899999999999999</v>
      </c>
      <c r="D665" s="41">
        <v>144</v>
      </c>
      <c r="E665" s="41">
        <v>18.899999999999999</v>
      </c>
      <c r="F665" s="41">
        <v>148</v>
      </c>
    </row>
    <row r="666" spans="1:6" ht="15" x14ac:dyDescent="0.25">
      <c r="A666" s="41"/>
      <c r="B666" s="59" t="s">
        <v>103</v>
      </c>
      <c r="C666" s="41">
        <v>18</v>
      </c>
      <c r="D666" s="41">
        <v>144</v>
      </c>
      <c r="E666" s="41">
        <v>20.2</v>
      </c>
      <c r="F666" s="41">
        <v>148</v>
      </c>
    </row>
    <row r="667" spans="1:6" ht="15" x14ac:dyDescent="0.25">
      <c r="A667" s="41" t="s">
        <v>493</v>
      </c>
      <c r="B667" s="59" t="s">
        <v>85</v>
      </c>
      <c r="C667" s="41">
        <v>16.2</v>
      </c>
      <c r="D667" s="41">
        <v>144</v>
      </c>
      <c r="E667" s="41">
        <v>14.9</v>
      </c>
      <c r="F667" s="41">
        <v>146</v>
      </c>
    </row>
    <row r="668" spans="1:6" ht="15" x14ac:dyDescent="0.25">
      <c r="A668" s="41"/>
      <c r="B668" s="59" t="s">
        <v>102</v>
      </c>
      <c r="C668" s="41">
        <v>24.5</v>
      </c>
      <c r="D668" s="41">
        <v>142</v>
      </c>
      <c r="E668" s="41">
        <v>23.5</v>
      </c>
      <c r="F668" s="41">
        <v>146</v>
      </c>
    </row>
    <row r="669" spans="1:6" ht="15" x14ac:dyDescent="0.25">
      <c r="A669" s="41"/>
      <c r="B669" s="59" t="s">
        <v>103</v>
      </c>
      <c r="C669" s="41">
        <v>20.100000000000001</v>
      </c>
      <c r="D669" s="41">
        <v>140</v>
      </c>
      <c r="E669" s="41">
        <v>21.9</v>
      </c>
      <c r="F669" s="41">
        <v>144</v>
      </c>
    </row>
    <row r="670" spans="1:6" ht="15" x14ac:dyDescent="0.25">
      <c r="A670" s="41" t="s">
        <v>494</v>
      </c>
      <c r="B670" s="59" t="s">
        <v>85</v>
      </c>
      <c r="C670" s="41">
        <v>20.3</v>
      </c>
      <c r="D670" s="41">
        <v>146</v>
      </c>
      <c r="E670" s="41">
        <v>23.3</v>
      </c>
      <c r="F670" s="41">
        <v>148</v>
      </c>
    </row>
    <row r="671" spans="1:6" ht="15" x14ac:dyDescent="0.25">
      <c r="A671" s="41"/>
      <c r="B671" s="59" t="s">
        <v>102</v>
      </c>
      <c r="C671" s="41">
        <v>23</v>
      </c>
      <c r="D671" s="41">
        <v>144</v>
      </c>
      <c r="E671" s="41">
        <v>24</v>
      </c>
      <c r="F671" s="41">
        <v>146</v>
      </c>
    </row>
    <row r="672" spans="1:6" ht="15" x14ac:dyDescent="0.25">
      <c r="A672" s="41"/>
      <c r="B672" s="59" t="s">
        <v>103</v>
      </c>
      <c r="C672" s="41">
        <v>22.8</v>
      </c>
      <c r="D672" s="41">
        <v>146</v>
      </c>
      <c r="E672" s="41">
        <v>24.4</v>
      </c>
      <c r="F672" s="41">
        <v>148</v>
      </c>
    </row>
    <row r="673" spans="1:6" ht="15" x14ac:dyDescent="0.25">
      <c r="A673" s="41" t="s">
        <v>495</v>
      </c>
      <c r="B673" s="59" t="s">
        <v>85</v>
      </c>
      <c r="C673" s="41">
        <v>19.899999999999999</v>
      </c>
      <c r="D673" s="41">
        <v>142</v>
      </c>
      <c r="E673" s="41">
        <v>24.5</v>
      </c>
      <c r="F673" s="41">
        <v>142</v>
      </c>
    </row>
    <row r="674" spans="1:6" ht="15" x14ac:dyDescent="0.25">
      <c r="A674" s="41"/>
      <c r="B674" s="59" t="s">
        <v>102</v>
      </c>
      <c r="C674" s="41">
        <v>17.3</v>
      </c>
      <c r="D674" s="41">
        <v>142</v>
      </c>
      <c r="E674" s="41">
        <v>17.2</v>
      </c>
      <c r="F674" s="41">
        <v>142</v>
      </c>
    </row>
    <row r="675" spans="1:6" ht="15" x14ac:dyDescent="0.25">
      <c r="A675" s="41"/>
      <c r="B675" s="59" t="s">
        <v>103</v>
      </c>
      <c r="C675" s="41">
        <v>17.899999999999999</v>
      </c>
      <c r="D675" s="41">
        <v>144</v>
      </c>
      <c r="E675" s="41">
        <v>19.600000000000001</v>
      </c>
      <c r="F675" s="41">
        <v>143</v>
      </c>
    </row>
    <row r="676" spans="1:6" ht="15" x14ac:dyDescent="0.25">
      <c r="A676" s="41" t="s">
        <v>496</v>
      </c>
      <c r="B676" s="59" t="s">
        <v>85</v>
      </c>
      <c r="C676" s="41">
        <v>23.9</v>
      </c>
      <c r="D676" s="41">
        <v>146</v>
      </c>
      <c r="E676" s="41">
        <v>21.7</v>
      </c>
      <c r="F676" s="41">
        <v>148</v>
      </c>
    </row>
    <row r="677" spans="1:6" ht="15" x14ac:dyDescent="0.25">
      <c r="A677" s="41"/>
      <c r="B677" s="59" t="s">
        <v>102</v>
      </c>
      <c r="C677" s="41">
        <v>21.6</v>
      </c>
      <c r="D677" s="41">
        <v>144</v>
      </c>
      <c r="E677" s="41">
        <v>22.3</v>
      </c>
      <c r="F677" s="41">
        <v>146</v>
      </c>
    </row>
    <row r="678" spans="1:6" ht="15" x14ac:dyDescent="0.25">
      <c r="A678" s="41"/>
      <c r="B678" s="59" t="s">
        <v>103</v>
      </c>
      <c r="C678" s="41">
        <v>19.399999999999999</v>
      </c>
      <c r="D678" s="41">
        <v>142</v>
      </c>
      <c r="E678" s="41">
        <v>20.2</v>
      </c>
      <c r="F678" s="41">
        <v>144</v>
      </c>
    </row>
    <row r="679" spans="1:6" ht="15" x14ac:dyDescent="0.25">
      <c r="A679" s="41" t="s">
        <v>497</v>
      </c>
      <c r="B679" s="59" t="s">
        <v>85</v>
      </c>
      <c r="C679" s="41">
        <v>12</v>
      </c>
      <c r="D679" s="41">
        <v>142</v>
      </c>
      <c r="E679" s="41">
        <v>19.2</v>
      </c>
      <c r="F679" s="41">
        <v>144</v>
      </c>
    </row>
    <row r="680" spans="1:6" ht="15" x14ac:dyDescent="0.25">
      <c r="A680" s="41"/>
      <c r="B680" s="59" t="s">
        <v>102</v>
      </c>
      <c r="C680" s="41">
        <v>19.600000000000001</v>
      </c>
      <c r="D680" s="41">
        <v>142</v>
      </c>
      <c r="E680" s="41">
        <v>18.600000000000001</v>
      </c>
      <c r="F680" s="41">
        <v>144</v>
      </c>
    </row>
    <row r="681" spans="1:6" ht="15" x14ac:dyDescent="0.25">
      <c r="A681" s="41"/>
      <c r="B681" s="59" t="s">
        <v>103</v>
      </c>
      <c r="C681" s="41">
        <v>17.899999999999999</v>
      </c>
      <c r="D681" s="41">
        <v>140</v>
      </c>
      <c r="E681" s="41">
        <v>18.899999999999999</v>
      </c>
      <c r="F681" s="41">
        <v>142</v>
      </c>
    </row>
    <row r="682" spans="1:6" ht="15" x14ac:dyDescent="0.25">
      <c r="A682" s="41" t="s">
        <v>498</v>
      </c>
      <c r="B682" s="59" t="s">
        <v>85</v>
      </c>
      <c r="C682" s="41">
        <v>28</v>
      </c>
      <c r="D682" s="41">
        <v>144</v>
      </c>
      <c r="E682" s="41">
        <v>27.4</v>
      </c>
      <c r="F682" s="41">
        <v>146</v>
      </c>
    </row>
    <row r="683" spans="1:6" ht="15" x14ac:dyDescent="0.25">
      <c r="A683" s="41"/>
      <c r="B683" s="59" t="s">
        <v>102</v>
      </c>
      <c r="C683" s="41">
        <v>20.7</v>
      </c>
      <c r="D683" s="41">
        <v>142</v>
      </c>
      <c r="E683" s="41">
        <v>22.1</v>
      </c>
      <c r="F683" s="41">
        <v>144</v>
      </c>
    </row>
    <row r="684" spans="1:6" ht="15" x14ac:dyDescent="0.25">
      <c r="A684" s="41"/>
      <c r="B684" s="59" t="s">
        <v>103</v>
      </c>
      <c r="C684" s="41">
        <v>21.2</v>
      </c>
      <c r="D684" s="41">
        <v>144</v>
      </c>
      <c r="E684" s="41">
        <v>23</v>
      </c>
      <c r="F684" s="41">
        <v>146</v>
      </c>
    </row>
    <row r="685" spans="1:6" ht="15" x14ac:dyDescent="0.25">
      <c r="A685" s="41" t="s">
        <v>499</v>
      </c>
      <c r="B685" s="59" t="s">
        <v>85</v>
      </c>
      <c r="C685" s="41">
        <v>18.600000000000001</v>
      </c>
      <c r="D685" s="41">
        <v>144</v>
      </c>
      <c r="E685" s="41">
        <v>19.100000000000001</v>
      </c>
      <c r="F685" s="41">
        <v>146</v>
      </c>
    </row>
    <row r="686" spans="1:6" ht="15" x14ac:dyDescent="0.25">
      <c r="A686" s="41"/>
      <c r="B686" s="59" t="s">
        <v>102</v>
      </c>
      <c r="C686" s="41">
        <v>20.5</v>
      </c>
      <c r="D686" s="41">
        <v>144</v>
      </c>
      <c r="E686" s="41">
        <v>17.2</v>
      </c>
      <c r="F686" s="41">
        <v>146</v>
      </c>
    </row>
    <row r="687" spans="1:6" ht="15" x14ac:dyDescent="0.25">
      <c r="A687" s="41" t="s">
        <v>500</v>
      </c>
      <c r="B687" s="59" t="s">
        <v>85</v>
      </c>
      <c r="C687" s="41">
        <v>19.899999999999999</v>
      </c>
      <c r="D687" s="41">
        <v>148</v>
      </c>
      <c r="E687" s="41">
        <v>24.7</v>
      </c>
      <c r="F687" s="41">
        <v>150</v>
      </c>
    </row>
    <row r="688" spans="1:6" ht="15" x14ac:dyDescent="0.25">
      <c r="A688" s="41"/>
      <c r="B688" s="59" t="s">
        <v>102</v>
      </c>
      <c r="C688" s="41">
        <v>16</v>
      </c>
      <c r="D688" s="41">
        <v>146</v>
      </c>
      <c r="E688" s="41">
        <v>20.399999999999999</v>
      </c>
      <c r="F688" s="41">
        <v>148</v>
      </c>
    </row>
    <row r="689" spans="1:6" ht="15" x14ac:dyDescent="0.25">
      <c r="A689" s="41"/>
      <c r="B689" s="59" t="s">
        <v>103</v>
      </c>
      <c r="C689" s="41">
        <v>18.399999999999999</v>
      </c>
      <c r="D689" s="41">
        <v>144</v>
      </c>
      <c r="E689" s="41">
        <v>19.8</v>
      </c>
      <c r="F689" s="41">
        <v>146</v>
      </c>
    </row>
    <row r="690" spans="1:6" ht="15" x14ac:dyDescent="0.25">
      <c r="A690" s="41" t="s">
        <v>501</v>
      </c>
      <c r="B690" s="59" t="s">
        <v>85</v>
      </c>
      <c r="C690" s="41">
        <v>19.600000000000001</v>
      </c>
      <c r="D690" s="41">
        <v>148</v>
      </c>
      <c r="E690" s="41">
        <v>20.9</v>
      </c>
      <c r="F690" s="41">
        <v>150</v>
      </c>
    </row>
    <row r="691" spans="1:6" ht="15" x14ac:dyDescent="0.25">
      <c r="A691" s="41"/>
      <c r="B691" s="59" t="s">
        <v>102</v>
      </c>
      <c r="C691" s="41">
        <v>13.1</v>
      </c>
      <c r="D691" s="41">
        <v>146</v>
      </c>
      <c r="E691" s="41">
        <v>18.2</v>
      </c>
      <c r="F691" s="41">
        <v>148</v>
      </c>
    </row>
    <row r="692" spans="1:6" ht="15" x14ac:dyDescent="0.25">
      <c r="A692" s="41"/>
      <c r="B692" s="59" t="s">
        <v>103</v>
      </c>
      <c r="C692" s="41">
        <v>17.899999999999999</v>
      </c>
      <c r="D692" s="41">
        <v>140</v>
      </c>
      <c r="E692" s="41">
        <v>18.399999999999999</v>
      </c>
      <c r="F692" s="41">
        <v>144</v>
      </c>
    </row>
    <row r="693" spans="1:6" ht="15" x14ac:dyDescent="0.25">
      <c r="A693" s="41" t="s">
        <v>502</v>
      </c>
      <c r="B693" s="59" t="s">
        <v>85</v>
      </c>
      <c r="C693" s="41">
        <v>10.8</v>
      </c>
      <c r="D693" s="41">
        <v>142</v>
      </c>
      <c r="E693" s="41">
        <v>17.8</v>
      </c>
      <c r="F693" s="41">
        <v>142</v>
      </c>
    </row>
    <row r="694" spans="1:6" ht="15" x14ac:dyDescent="0.25">
      <c r="A694" s="41"/>
      <c r="B694" s="59" t="s">
        <v>102</v>
      </c>
      <c r="C694" s="41">
        <v>15.3</v>
      </c>
      <c r="D694" s="41">
        <v>142</v>
      </c>
      <c r="E694" s="41">
        <v>17.399999999999999</v>
      </c>
      <c r="F694" s="41">
        <v>144</v>
      </c>
    </row>
    <row r="695" spans="1:6" ht="15" x14ac:dyDescent="0.25">
      <c r="A695" s="41"/>
      <c r="B695" s="59" t="s">
        <v>103</v>
      </c>
      <c r="C695" s="41">
        <v>17.3</v>
      </c>
      <c r="D695" s="41">
        <v>144</v>
      </c>
      <c r="E695" s="41">
        <v>18.100000000000001</v>
      </c>
      <c r="F695" s="41">
        <v>144</v>
      </c>
    </row>
    <row r="696" spans="1:6" ht="15" x14ac:dyDescent="0.25">
      <c r="A696" s="41" t="s">
        <v>503</v>
      </c>
      <c r="B696" s="59" t="s">
        <v>85</v>
      </c>
      <c r="C696" s="41">
        <v>15.6</v>
      </c>
      <c r="D696" s="41">
        <v>142</v>
      </c>
      <c r="E696" s="41">
        <v>14.2</v>
      </c>
      <c r="F696" s="41">
        <v>144</v>
      </c>
    </row>
    <row r="697" spans="1:6" ht="15" x14ac:dyDescent="0.25">
      <c r="A697" s="41"/>
      <c r="B697" s="59" t="s">
        <v>102</v>
      </c>
      <c r="C697" s="41">
        <v>16.600000000000001</v>
      </c>
      <c r="D697" s="41">
        <v>144</v>
      </c>
      <c r="E697" s="41">
        <v>15.9</v>
      </c>
      <c r="F697" s="41">
        <v>142</v>
      </c>
    </row>
    <row r="698" spans="1:6" ht="15" x14ac:dyDescent="0.25">
      <c r="A698" s="41"/>
      <c r="B698" s="59" t="s">
        <v>103</v>
      </c>
      <c r="C698" s="41">
        <v>17</v>
      </c>
      <c r="D698" s="41">
        <v>143</v>
      </c>
      <c r="E698" s="41">
        <v>16.399999999999999</v>
      </c>
      <c r="F698" s="41">
        <v>146</v>
      </c>
    </row>
    <row r="699" spans="1:6" ht="15" x14ac:dyDescent="0.25">
      <c r="A699" s="41" t="s">
        <v>504</v>
      </c>
      <c r="B699" s="59" t="s">
        <v>85</v>
      </c>
      <c r="C699" s="41">
        <v>12.5</v>
      </c>
      <c r="D699" s="41">
        <v>140</v>
      </c>
      <c r="E699" s="41">
        <v>16.8</v>
      </c>
      <c r="F699" s="41">
        <v>144</v>
      </c>
    </row>
    <row r="700" spans="1:6" ht="15" x14ac:dyDescent="0.25">
      <c r="A700" s="41"/>
      <c r="B700" s="59" t="s">
        <v>102</v>
      </c>
      <c r="C700" s="41">
        <v>24.9</v>
      </c>
      <c r="D700" s="41">
        <v>146</v>
      </c>
      <c r="E700" s="41">
        <v>27.3</v>
      </c>
      <c r="F700" s="41">
        <v>148</v>
      </c>
    </row>
    <row r="701" spans="1:6" ht="15" x14ac:dyDescent="0.25">
      <c r="A701" s="41"/>
      <c r="B701" s="59" t="s">
        <v>103</v>
      </c>
      <c r="C701" s="41">
        <v>22.9</v>
      </c>
      <c r="D701" s="41">
        <v>142</v>
      </c>
      <c r="E701" s="41">
        <v>24.8</v>
      </c>
      <c r="F701" s="41">
        <v>144</v>
      </c>
    </row>
    <row r="702" spans="1:6" ht="15" x14ac:dyDescent="0.25">
      <c r="A702" s="41" t="s">
        <v>505</v>
      </c>
      <c r="B702" s="59" t="s">
        <v>85</v>
      </c>
      <c r="C702" s="41">
        <v>22.5</v>
      </c>
      <c r="D702" s="41">
        <v>146</v>
      </c>
      <c r="E702" s="41">
        <v>23.6</v>
      </c>
      <c r="F702" s="41">
        <v>148</v>
      </c>
    </row>
    <row r="703" spans="1:6" ht="15" x14ac:dyDescent="0.25">
      <c r="A703" s="41"/>
      <c r="B703" s="59" t="s">
        <v>102</v>
      </c>
      <c r="C703" s="41">
        <v>21.3</v>
      </c>
      <c r="D703" s="41">
        <v>146</v>
      </c>
      <c r="E703" s="41">
        <v>23</v>
      </c>
      <c r="F703" s="41">
        <v>148</v>
      </c>
    </row>
    <row r="704" spans="1:6" ht="15" x14ac:dyDescent="0.25">
      <c r="A704" s="41"/>
      <c r="B704" s="59" t="s">
        <v>103</v>
      </c>
      <c r="C704" s="41">
        <v>18</v>
      </c>
      <c r="D704" s="41">
        <v>142</v>
      </c>
      <c r="E704" s="41">
        <v>20.2</v>
      </c>
      <c r="F704" s="41">
        <v>144</v>
      </c>
    </row>
    <row r="705" spans="1:6" ht="15" x14ac:dyDescent="0.25">
      <c r="A705" s="41" t="s">
        <v>506</v>
      </c>
      <c r="B705" s="59" t="s">
        <v>85</v>
      </c>
      <c r="C705" s="41">
        <v>11.4</v>
      </c>
      <c r="D705" s="41">
        <v>142</v>
      </c>
      <c r="E705" s="41">
        <v>13.9</v>
      </c>
      <c r="F705" s="41">
        <v>144</v>
      </c>
    </row>
    <row r="706" spans="1:6" ht="15" x14ac:dyDescent="0.25">
      <c r="A706" s="41"/>
      <c r="B706" s="59" t="s">
        <v>102</v>
      </c>
      <c r="C706" s="41">
        <v>23.8</v>
      </c>
      <c r="D706" s="41">
        <v>142</v>
      </c>
      <c r="E706" s="41">
        <v>21.2</v>
      </c>
      <c r="F706" s="41">
        <v>144</v>
      </c>
    </row>
    <row r="707" spans="1:6" ht="15" x14ac:dyDescent="0.25">
      <c r="A707" s="41" t="s">
        <v>507</v>
      </c>
      <c r="B707" s="59" t="s">
        <v>85</v>
      </c>
      <c r="C707" s="41">
        <v>20.2</v>
      </c>
      <c r="D707" s="41">
        <v>146</v>
      </c>
      <c r="E707" s="41">
        <v>23.8</v>
      </c>
      <c r="F707" s="41">
        <v>148</v>
      </c>
    </row>
    <row r="708" spans="1:6" ht="15" x14ac:dyDescent="0.25">
      <c r="A708" s="41"/>
      <c r="B708" s="59" t="s">
        <v>102</v>
      </c>
      <c r="C708" s="41">
        <v>21.4</v>
      </c>
      <c r="D708" s="41">
        <v>142</v>
      </c>
      <c r="E708" s="41">
        <v>22.6</v>
      </c>
      <c r="F708" s="41">
        <v>144</v>
      </c>
    </row>
    <row r="709" spans="1:6" ht="15" x14ac:dyDescent="0.25">
      <c r="A709" s="41" t="s">
        <v>508</v>
      </c>
      <c r="B709" s="59" t="s">
        <v>85</v>
      </c>
      <c r="C709" s="41">
        <v>22.2</v>
      </c>
      <c r="D709" s="41">
        <v>144</v>
      </c>
      <c r="E709" s="41">
        <v>17.600000000000001</v>
      </c>
      <c r="F709" s="41">
        <v>146</v>
      </c>
    </row>
    <row r="710" spans="1:6" ht="15" x14ac:dyDescent="0.25">
      <c r="A710" s="41"/>
      <c r="B710" s="59" t="s">
        <v>102</v>
      </c>
      <c r="C710" s="41">
        <v>23.8</v>
      </c>
      <c r="D710" s="41">
        <v>144</v>
      </c>
      <c r="E710" s="41">
        <v>24.3</v>
      </c>
      <c r="F710" s="41">
        <v>146</v>
      </c>
    </row>
    <row r="711" spans="1:6" ht="15" x14ac:dyDescent="0.25">
      <c r="A711" s="41"/>
      <c r="B711" s="59" t="s">
        <v>103</v>
      </c>
      <c r="C711" s="41">
        <v>22.1</v>
      </c>
      <c r="D711" s="41">
        <v>144</v>
      </c>
      <c r="E711" s="41">
        <v>24.5</v>
      </c>
      <c r="F711" s="41">
        <v>148</v>
      </c>
    </row>
    <row r="712" spans="1:6" ht="15" x14ac:dyDescent="0.25">
      <c r="A712" s="41" t="s">
        <v>509</v>
      </c>
      <c r="B712" s="59" t="s">
        <v>85</v>
      </c>
      <c r="C712" s="41">
        <v>20</v>
      </c>
      <c r="D712" s="41">
        <v>146</v>
      </c>
      <c r="E712" s="41">
        <v>16.8</v>
      </c>
      <c r="F712" s="41">
        <v>148</v>
      </c>
    </row>
    <row r="713" spans="1:6" ht="15" x14ac:dyDescent="0.25">
      <c r="A713" s="41"/>
      <c r="B713" s="59" t="s">
        <v>102</v>
      </c>
      <c r="C713" s="41">
        <v>22.5</v>
      </c>
      <c r="D713" s="41">
        <v>144</v>
      </c>
      <c r="E713" s="41">
        <v>19.899999999999999</v>
      </c>
      <c r="F713" s="41">
        <v>146</v>
      </c>
    </row>
    <row r="714" spans="1:6" ht="15" x14ac:dyDescent="0.25">
      <c r="A714" s="41"/>
      <c r="B714" s="59" t="s">
        <v>103</v>
      </c>
      <c r="C714" s="41">
        <v>19.399999999999999</v>
      </c>
      <c r="D714" s="41">
        <v>140</v>
      </c>
      <c r="E714" s="41">
        <v>20.2</v>
      </c>
      <c r="F714" s="41">
        <v>144</v>
      </c>
    </row>
    <row r="715" spans="1:6" ht="15" x14ac:dyDescent="0.25">
      <c r="A715" s="41" t="s">
        <v>510</v>
      </c>
      <c r="B715" s="59" t="s">
        <v>85</v>
      </c>
      <c r="C715" s="41">
        <v>25.7</v>
      </c>
      <c r="D715" s="41">
        <v>146</v>
      </c>
      <c r="E715" s="41">
        <v>28.7</v>
      </c>
      <c r="F715" s="41">
        <v>148</v>
      </c>
    </row>
    <row r="716" spans="1:6" ht="15" x14ac:dyDescent="0.25">
      <c r="A716" s="41"/>
      <c r="B716" s="59" t="s">
        <v>102</v>
      </c>
      <c r="C716" s="41">
        <v>20.9</v>
      </c>
      <c r="D716" s="41">
        <v>144</v>
      </c>
      <c r="E716" s="41">
        <v>19.2</v>
      </c>
      <c r="F716" s="41">
        <v>146</v>
      </c>
    </row>
    <row r="717" spans="1:6" ht="15" x14ac:dyDescent="0.25">
      <c r="A717" s="41"/>
      <c r="B717" s="59" t="s">
        <v>103</v>
      </c>
      <c r="C717" s="41">
        <v>20</v>
      </c>
      <c r="D717" s="41">
        <v>146</v>
      </c>
      <c r="E717" s="41">
        <v>22.2</v>
      </c>
      <c r="F717" s="41">
        <v>148</v>
      </c>
    </row>
    <row r="718" spans="1:6" ht="15" x14ac:dyDescent="0.25">
      <c r="A718" s="41" t="s">
        <v>511</v>
      </c>
      <c r="B718" s="59" t="s">
        <v>85</v>
      </c>
      <c r="C718" s="41">
        <v>18.2</v>
      </c>
      <c r="D718" s="41">
        <v>144</v>
      </c>
      <c r="E718" s="41">
        <v>23.3</v>
      </c>
      <c r="F718" s="41">
        <v>146</v>
      </c>
    </row>
    <row r="719" spans="1:6" ht="15" x14ac:dyDescent="0.25">
      <c r="A719" s="41"/>
      <c r="B719" s="59" t="s">
        <v>102</v>
      </c>
      <c r="C719" s="41">
        <v>17.399999999999999</v>
      </c>
      <c r="D719" s="41">
        <v>142</v>
      </c>
      <c r="E719" s="41">
        <v>20.2</v>
      </c>
      <c r="F719" s="41">
        <v>144</v>
      </c>
    </row>
    <row r="720" spans="1:6" ht="15" x14ac:dyDescent="0.25">
      <c r="A720" s="41"/>
      <c r="B720" s="59" t="s">
        <v>103</v>
      </c>
      <c r="C720" s="41">
        <v>17.899999999999999</v>
      </c>
      <c r="D720" s="41">
        <v>142</v>
      </c>
      <c r="E720" s="41">
        <v>19.100000000000001</v>
      </c>
      <c r="F720" s="41">
        <v>144</v>
      </c>
    </row>
    <row r="721" spans="1:6" ht="15" x14ac:dyDescent="0.25">
      <c r="A721" s="41" t="s">
        <v>512</v>
      </c>
      <c r="B721" s="59" t="s">
        <v>85</v>
      </c>
      <c r="C721" s="41">
        <v>17.5</v>
      </c>
      <c r="D721" s="41">
        <v>142</v>
      </c>
      <c r="E721" s="41">
        <v>18.7</v>
      </c>
      <c r="F721" s="41">
        <v>144</v>
      </c>
    </row>
    <row r="722" spans="1:6" ht="15" x14ac:dyDescent="0.25">
      <c r="A722" s="41"/>
      <c r="B722" s="59" t="s">
        <v>102</v>
      </c>
      <c r="C722" s="41">
        <v>17</v>
      </c>
      <c r="D722" s="41">
        <v>142</v>
      </c>
      <c r="E722" s="41">
        <v>18.2</v>
      </c>
      <c r="F722" s="41">
        <v>144</v>
      </c>
    </row>
    <row r="723" spans="1:6" ht="15" x14ac:dyDescent="0.25">
      <c r="A723" s="41"/>
      <c r="B723" s="59" t="s">
        <v>103</v>
      </c>
      <c r="C723" s="41">
        <v>17.2</v>
      </c>
      <c r="D723" s="41">
        <v>140</v>
      </c>
      <c r="E723" s="41">
        <v>18.399999999999999</v>
      </c>
      <c r="F723" s="41">
        <v>142</v>
      </c>
    </row>
    <row r="724" spans="1:6" ht="15" x14ac:dyDescent="0.25">
      <c r="A724" s="41" t="s">
        <v>513</v>
      </c>
      <c r="B724" s="59" t="s">
        <v>85</v>
      </c>
      <c r="C724" s="41">
        <v>18.5</v>
      </c>
      <c r="D724" s="41">
        <v>142</v>
      </c>
      <c r="E724" s="41">
        <v>24</v>
      </c>
      <c r="F724" s="41">
        <v>144</v>
      </c>
    </row>
    <row r="725" spans="1:6" ht="15" x14ac:dyDescent="0.25">
      <c r="A725" s="41"/>
      <c r="B725" s="59" t="s">
        <v>102</v>
      </c>
      <c r="C725" s="41">
        <v>19.399999999999999</v>
      </c>
      <c r="D725" s="41">
        <v>142</v>
      </c>
      <c r="E725" s="41">
        <v>23.6</v>
      </c>
      <c r="F725" s="41">
        <v>144</v>
      </c>
    </row>
    <row r="726" spans="1:6" ht="15" x14ac:dyDescent="0.25">
      <c r="A726" s="41"/>
      <c r="B726" s="59" t="s">
        <v>103</v>
      </c>
      <c r="C726" s="41">
        <v>20.2</v>
      </c>
      <c r="D726" s="41">
        <v>142</v>
      </c>
      <c r="E726" s="41">
        <v>23</v>
      </c>
      <c r="F726" s="41">
        <v>144</v>
      </c>
    </row>
    <row r="727" spans="1:6" ht="15" x14ac:dyDescent="0.25">
      <c r="A727" s="41" t="s">
        <v>521</v>
      </c>
      <c r="B727" s="59" t="s">
        <v>85</v>
      </c>
      <c r="C727" s="41">
        <v>20</v>
      </c>
      <c r="D727" s="41">
        <v>142</v>
      </c>
      <c r="E727" s="41">
        <v>21.4</v>
      </c>
      <c r="F727" s="41">
        <v>144</v>
      </c>
    </row>
    <row r="728" spans="1:6" ht="15" x14ac:dyDescent="0.25">
      <c r="A728" s="41"/>
      <c r="B728" s="59" t="s">
        <v>102</v>
      </c>
      <c r="C728" s="41">
        <v>17.5</v>
      </c>
      <c r="D728" s="41">
        <v>142</v>
      </c>
      <c r="E728" s="41">
        <v>20.100000000000001</v>
      </c>
      <c r="F728" s="41">
        <v>144</v>
      </c>
    </row>
    <row r="729" spans="1:6" ht="15" x14ac:dyDescent="0.25">
      <c r="A729" s="41"/>
      <c r="B729" s="59" t="s">
        <v>103</v>
      </c>
      <c r="C729" s="41">
        <v>18.8</v>
      </c>
      <c r="D729" s="41">
        <v>142</v>
      </c>
      <c r="E729" s="41">
        <v>21.5</v>
      </c>
      <c r="F729" s="41">
        <v>144</v>
      </c>
    </row>
    <row r="730" spans="1:6" ht="15" x14ac:dyDescent="0.25">
      <c r="A730" s="41" t="s">
        <v>529</v>
      </c>
      <c r="B730" s="59" t="s">
        <v>85</v>
      </c>
      <c r="C730" s="41">
        <v>17.3</v>
      </c>
      <c r="D730" s="41">
        <v>144</v>
      </c>
      <c r="E730" s="41">
        <v>19.8</v>
      </c>
      <c r="F730" s="41">
        <v>144</v>
      </c>
    </row>
    <row r="731" spans="1:6" ht="15" x14ac:dyDescent="0.25">
      <c r="A731" s="41"/>
      <c r="B731" s="59" t="s">
        <v>102</v>
      </c>
      <c r="C731" s="41">
        <v>18.2</v>
      </c>
      <c r="D731" s="41">
        <v>142</v>
      </c>
      <c r="E731" s="41">
        <v>19.2</v>
      </c>
      <c r="F731" s="41">
        <v>144</v>
      </c>
    </row>
    <row r="732" spans="1:6" ht="15" x14ac:dyDescent="0.25">
      <c r="A732" s="41"/>
      <c r="B732" s="59" t="s">
        <v>103</v>
      </c>
      <c r="C732" s="41">
        <v>18.8</v>
      </c>
      <c r="D732" s="41">
        <v>142</v>
      </c>
      <c r="E732" s="41">
        <v>20</v>
      </c>
      <c r="F732" s="41">
        <v>144</v>
      </c>
    </row>
    <row r="733" spans="1:6" ht="15" x14ac:dyDescent="0.25">
      <c r="A733" s="41" t="s">
        <v>533</v>
      </c>
      <c r="B733" s="59" t="s">
        <v>85</v>
      </c>
      <c r="C733" s="41">
        <v>25.2</v>
      </c>
      <c r="D733" s="41">
        <v>144</v>
      </c>
      <c r="E733" s="41">
        <v>26.8</v>
      </c>
      <c r="F733" s="41">
        <v>146</v>
      </c>
    </row>
    <row r="734" spans="1:6" ht="15" x14ac:dyDescent="0.25">
      <c r="A734" s="41"/>
      <c r="B734" s="59" t="s">
        <v>102</v>
      </c>
      <c r="C734" s="41">
        <v>13.3</v>
      </c>
      <c r="D734" s="41">
        <v>136</v>
      </c>
      <c r="E734" s="41">
        <v>14.4</v>
      </c>
      <c r="F734" s="41">
        <v>140</v>
      </c>
    </row>
    <row r="735" spans="1:6" ht="15" x14ac:dyDescent="0.25">
      <c r="A735" s="41"/>
      <c r="B735" s="59" t="s">
        <v>103</v>
      </c>
      <c r="C735" s="41">
        <v>21</v>
      </c>
      <c r="D735" s="41">
        <v>140</v>
      </c>
      <c r="E735" s="41">
        <v>22.1</v>
      </c>
      <c r="F735" s="41">
        <v>144</v>
      </c>
    </row>
    <row r="736" spans="1:6" ht="15" x14ac:dyDescent="0.25">
      <c r="A736" s="41" t="s">
        <v>539</v>
      </c>
      <c r="B736" s="59" t="s">
        <v>85</v>
      </c>
      <c r="C736" s="41">
        <v>20.3</v>
      </c>
      <c r="D736" s="41">
        <v>142</v>
      </c>
      <c r="E736" s="41">
        <v>20.6</v>
      </c>
      <c r="F736" s="41">
        <v>144</v>
      </c>
    </row>
    <row r="737" spans="1:13" ht="15" x14ac:dyDescent="0.25">
      <c r="A737" s="41"/>
      <c r="B737" s="59" t="s">
        <v>102</v>
      </c>
      <c r="C737" s="41">
        <v>20</v>
      </c>
      <c r="D737" s="41">
        <v>142</v>
      </c>
      <c r="E737" s="41">
        <v>14</v>
      </c>
      <c r="F737" s="41">
        <v>144</v>
      </c>
    </row>
    <row r="738" spans="1:13" ht="15" x14ac:dyDescent="0.25">
      <c r="A738" s="41"/>
      <c r="B738" s="59" t="s">
        <v>103</v>
      </c>
      <c r="C738" s="41">
        <v>18.399999999999999</v>
      </c>
      <c r="D738" s="41">
        <v>140</v>
      </c>
      <c r="E738" s="41">
        <v>19.8</v>
      </c>
      <c r="F738" s="41">
        <v>144</v>
      </c>
    </row>
    <row r="739" spans="1:13" ht="15" x14ac:dyDescent="0.25">
      <c r="A739" s="41" t="s">
        <v>547</v>
      </c>
      <c r="B739" s="59" t="s">
        <v>85</v>
      </c>
      <c r="C739" s="41">
        <v>15.6</v>
      </c>
      <c r="D739" s="41">
        <v>138</v>
      </c>
      <c r="E739" s="41">
        <v>18.5</v>
      </c>
      <c r="F739" s="41">
        <v>140</v>
      </c>
      <c r="M739" t="s">
        <v>530</v>
      </c>
    </row>
    <row r="740" spans="1:13" ht="15" x14ac:dyDescent="0.25">
      <c r="A740" s="41"/>
      <c r="B740" s="59" t="s">
        <v>102</v>
      </c>
      <c r="C740" s="41">
        <v>16.399999999999999</v>
      </c>
      <c r="D740" s="41">
        <v>138</v>
      </c>
      <c r="E740" s="41">
        <v>19.2</v>
      </c>
      <c r="F740" s="41">
        <v>140</v>
      </c>
    </row>
    <row r="741" spans="1:13" ht="15" x14ac:dyDescent="0.25">
      <c r="A741" s="41"/>
      <c r="B741" s="59" t="s">
        <v>103</v>
      </c>
      <c r="C741" s="41">
        <v>20</v>
      </c>
      <c r="D741" s="41">
        <v>142</v>
      </c>
      <c r="E741" s="41">
        <v>21.4</v>
      </c>
      <c r="F741" s="41">
        <v>144</v>
      </c>
    </row>
    <row r="742" spans="1:13" ht="15" x14ac:dyDescent="0.25">
      <c r="A742" s="41" t="s">
        <v>552</v>
      </c>
      <c r="B742" s="59" t="s">
        <v>85</v>
      </c>
      <c r="C742" s="41">
        <v>22.3</v>
      </c>
      <c r="D742" s="41">
        <v>140</v>
      </c>
      <c r="E742" s="41">
        <v>21.2</v>
      </c>
      <c r="F742" s="41">
        <v>140</v>
      </c>
    </row>
    <row r="743" spans="1:13" ht="15" x14ac:dyDescent="0.25">
      <c r="A743" s="41"/>
      <c r="B743" s="59" t="s">
        <v>102</v>
      </c>
      <c r="C743" s="41">
        <v>20</v>
      </c>
      <c r="D743" s="41">
        <v>138</v>
      </c>
      <c r="E743" s="41">
        <v>21.9</v>
      </c>
      <c r="F743" s="41">
        <v>140</v>
      </c>
    </row>
    <row r="744" spans="1:13" ht="15" x14ac:dyDescent="0.25">
      <c r="A744" s="41"/>
      <c r="B744" s="59" t="s">
        <v>103</v>
      </c>
      <c r="C744" s="41">
        <v>21.6</v>
      </c>
      <c r="D744" s="41">
        <v>144</v>
      </c>
      <c r="E744" s="41">
        <v>20.9</v>
      </c>
      <c r="F744" s="41">
        <v>142</v>
      </c>
    </row>
    <row r="745" spans="1:13" ht="15" x14ac:dyDescent="0.25">
      <c r="A745" s="41" t="s">
        <v>559</v>
      </c>
      <c r="B745" s="59" t="s">
        <v>85</v>
      </c>
      <c r="C745" s="41">
        <v>19.2</v>
      </c>
      <c r="D745" s="41">
        <v>140</v>
      </c>
      <c r="E745" s="41">
        <v>22</v>
      </c>
      <c r="F745" s="41">
        <v>142</v>
      </c>
    </row>
    <row r="746" spans="1:13" ht="15" x14ac:dyDescent="0.25">
      <c r="A746" s="41"/>
      <c r="B746" s="59" t="s">
        <v>102</v>
      </c>
      <c r="C746" s="41">
        <v>21.9</v>
      </c>
      <c r="D746" s="41">
        <v>140</v>
      </c>
      <c r="E746" s="41">
        <v>20.3</v>
      </c>
      <c r="F746" s="41">
        <v>142</v>
      </c>
    </row>
    <row r="747" spans="1:13" ht="15" x14ac:dyDescent="0.25">
      <c r="A747" s="41"/>
      <c r="B747" s="59" t="s">
        <v>103</v>
      </c>
      <c r="C747" s="41">
        <v>18.2</v>
      </c>
      <c r="D747" s="41">
        <v>138</v>
      </c>
      <c r="E747" s="41">
        <v>19.899999999999999</v>
      </c>
      <c r="F747" s="41">
        <v>140</v>
      </c>
    </row>
    <row r="748" spans="1:13" ht="15" x14ac:dyDescent="0.25">
      <c r="A748" s="41" t="s">
        <v>566</v>
      </c>
      <c r="B748" s="59" t="s">
        <v>85</v>
      </c>
      <c r="C748" s="41">
        <v>21.1</v>
      </c>
      <c r="D748" s="41">
        <v>138</v>
      </c>
      <c r="E748" s="41">
        <v>21.4</v>
      </c>
      <c r="F748" s="41">
        <v>140</v>
      </c>
    </row>
    <row r="749" spans="1:13" ht="15" x14ac:dyDescent="0.25">
      <c r="A749" s="41"/>
      <c r="B749" s="59" t="s">
        <v>102</v>
      </c>
      <c r="C749" s="41">
        <v>20.3</v>
      </c>
      <c r="D749" s="41">
        <v>140</v>
      </c>
      <c r="E749" s="41">
        <v>23.4</v>
      </c>
      <c r="F749" s="41">
        <v>142</v>
      </c>
    </row>
    <row r="750" spans="1:13" ht="15" x14ac:dyDescent="0.25">
      <c r="A750" s="41"/>
      <c r="B750" s="59" t="s">
        <v>103</v>
      </c>
      <c r="C750" s="41">
        <v>23.4</v>
      </c>
      <c r="D750" s="41">
        <v>142</v>
      </c>
      <c r="E750" s="41">
        <v>24.2</v>
      </c>
      <c r="F750" s="41">
        <v>144</v>
      </c>
    </row>
    <row r="751" spans="1:13" ht="15" x14ac:dyDescent="0.25">
      <c r="A751" s="41" t="s">
        <v>573</v>
      </c>
      <c r="B751" s="59" t="s">
        <v>85</v>
      </c>
      <c r="C751" s="41">
        <v>21.8</v>
      </c>
      <c r="D751" s="41">
        <v>140</v>
      </c>
      <c r="E751" s="41">
        <v>18.600000000000001</v>
      </c>
      <c r="F751" s="41">
        <v>142</v>
      </c>
    </row>
    <row r="752" spans="1:13" ht="15" x14ac:dyDescent="0.25">
      <c r="A752" s="41"/>
      <c r="B752" s="59" t="s">
        <v>102</v>
      </c>
      <c r="C752" s="41">
        <v>13.1</v>
      </c>
      <c r="D752" s="41">
        <v>138</v>
      </c>
      <c r="E752" s="41">
        <v>13.5</v>
      </c>
      <c r="F752" s="41">
        <v>138</v>
      </c>
    </row>
    <row r="753" spans="1:6" ht="15" x14ac:dyDescent="0.25">
      <c r="A753" s="41"/>
      <c r="B753" s="59" t="s">
        <v>103</v>
      </c>
      <c r="C753" s="41">
        <v>18.100000000000001</v>
      </c>
      <c r="D753" s="41">
        <v>140</v>
      </c>
      <c r="E753" s="41">
        <v>19.2</v>
      </c>
      <c r="F753" s="41">
        <v>142</v>
      </c>
    </row>
    <row r="754" spans="1:6" ht="15" x14ac:dyDescent="0.25">
      <c r="A754" s="155" t="s">
        <v>583</v>
      </c>
      <c r="B754" s="59" t="s">
        <v>85</v>
      </c>
      <c r="C754" s="41">
        <v>12.2</v>
      </c>
      <c r="D754" s="41">
        <v>144</v>
      </c>
      <c r="E754" s="41">
        <v>17.5</v>
      </c>
      <c r="F754" s="41">
        <v>142</v>
      </c>
    </row>
    <row r="755" spans="1:6" ht="15" x14ac:dyDescent="0.25">
      <c r="A755" s="41"/>
      <c r="B755" s="59" t="s">
        <v>102</v>
      </c>
      <c r="C755" s="41">
        <v>17.7</v>
      </c>
      <c r="D755" s="41">
        <v>144</v>
      </c>
      <c r="E755" s="41">
        <v>18.100000000000001</v>
      </c>
      <c r="F755" s="41">
        <v>144</v>
      </c>
    </row>
    <row r="756" spans="1:6" ht="15" x14ac:dyDescent="0.25">
      <c r="A756" s="41"/>
      <c r="B756" s="59" t="s">
        <v>103</v>
      </c>
      <c r="C756" s="41">
        <v>17.899999999999999</v>
      </c>
      <c r="D756" s="41">
        <v>140</v>
      </c>
      <c r="E756" s="41">
        <v>18.399999999999999</v>
      </c>
      <c r="F756" s="41">
        <v>144</v>
      </c>
    </row>
    <row r="757" spans="1:6" ht="15" x14ac:dyDescent="0.25">
      <c r="A757" s="41" t="s">
        <v>584</v>
      </c>
      <c r="B757" s="59" t="s">
        <v>85</v>
      </c>
      <c r="C757" s="41">
        <v>12.4</v>
      </c>
      <c r="D757" s="41">
        <v>136</v>
      </c>
      <c r="E757" s="41">
        <v>13.2</v>
      </c>
      <c r="F757" s="41">
        <v>138</v>
      </c>
    </row>
    <row r="758" spans="1:6" ht="15" x14ac:dyDescent="0.25">
      <c r="A758" s="41"/>
      <c r="B758" s="59" t="s">
        <v>102</v>
      </c>
      <c r="C758" s="41">
        <v>16.5</v>
      </c>
      <c r="D758" s="41">
        <v>138</v>
      </c>
      <c r="E758" s="41">
        <v>17</v>
      </c>
      <c r="F758" s="41">
        <v>140</v>
      </c>
    </row>
    <row r="759" spans="1:6" ht="15" x14ac:dyDescent="0.25">
      <c r="A759" s="41"/>
      <c r="B759" s="59" t="s">
        <v>103</v>
      </c>
      <c r="C759" s="41">
        <v>17.100000000000001</v>
      </c>
      <c r="D759" s="41">
        <v>140</v>
      </c>
      <c r="E759" s="41">
        <v>18</v>
      </c>
      <c r="F759" s="41">
        <v>142</v>
      </c>
    </row>
    <row r="760" spans="1:6" ht="15" x14ac:dyDescent="0.25">
      <c r="A760" s="41" t="s">
        <v>593</v>
      </c>
      <c r="B760" s="59" t="s">
        <v>85</v>
      </c>
      <c r="C760" s="41">
        <v>16.3</v>
      </c>
      <c r="D760" s="41">
        <v>138</v>
      </c>
      <c r="E760" s="41">
        <v>21.2</v>
      </c>
      <c r="F760" s="41">
        <v>140</v>
      </c>
    </row>
    <row r="761" spans="1:6" ht="15" x14ac:dyDescent="0.25">
      <c r="A761" s="41"/>
      <c r="B761" s="59" t="s">
        <v>102</v>
      </c>
      <c r="C761" s="41">
        <v>16.899999999999999</v>
      </c>
      <c r="D761" s="41">
        <v>138</v>
      </c>
      <c r="E761" s="41">
        <v>21.5</v>
      </c>
      <c r="F761" s="41">
        <v>140</v>
      </c>
    </row>
    <row r="762" spans="1:6" ht="15" x14ac:dyDescent="0.25">
      <c r="A762" s="41"/>
      <c r="B762" s="59" t="s">
        <v>103</v>
      </c>
      <c r="C762" s="41">
        <v>17.5</v>
      </c>
      <c r="D762" s="41">
        <v>140</v>
      </c>
      <c r="E762" s="41">
        <v>18.3</v>
      </c>
      <c r="F762" s="41">
        <v>142</v>
      </c>
    </row>
    <row r="763" spans="1:6" ht="15" x14ac:dyDescent="0.25">
      <c r="A763" s="41" t="s">
        <v>598</v>
      </c>
      <c r="B763" s="59" t="s">
        <v>85</v>
      </c>
      <c r="C763" s="41">
        <v>14.8</v>
      </c>
      <c r="D763" s="41">
        <v>138</v>
      </c>
      <c r="E763" s="41">
        <v>20.8</v>
      </c>
      <c r="F763" s="41">
        <v>140</v>
      </c>
    </row>
    <row r="764" spans="1:6" ht="15" x14ac:dyDescent="0.25">
      <c r="A764" s="41"/>
      <c r="B764" s="59" t="s">
        <v>102</v>
      </c>
      <c r="C764" s="41">
        <v>15.4</v>
      </c>
      <c r="D764" s="41">
        <v>136</v>
      </c>
      <c r="E764" s="41">
        <v>16.8</v>
      </c>
      <c r="F764" s="41">
        <v>138</v>
      </c>
    </row>
    <row r="765" spans="1:6" ht="15" x14ac:dyDescent="0.25">
      <c r="A765" s="41"/>
      <c r="B765" s="59" t="s">
        <v>103</v>
      </c>
      <c r="C765" s="41">
        <v>19</v>
      </c>
      <c r="D765" s="41">
        <v>138</v>
      </c>
      <c r="E765" s="41">
        <v>20</v>
      </c>
      <c r="F765" s="41">
        <v>140</v>
      </c>
    </row>
    <row r="766" spans="1:6" ht="15" x14ac:dyDescent="0.25">
      <c r="A766" s="41" t="s">
        <v>605</v>
      </c>
      <c r="B766" s="59" t="s">
        <v>85</v>
      </c>
      <c r="C766" s="41">
        <v>15.2</v>
      </c>
      <c r="D766" s="41">
        <v>136</v>
      </c>
      <c r="E766" s="41">
        <v>15.4</v>
      </c>
      <c r="F766" s="41">
        <v>138</v>
      </c>
    </row>
    <row r="767" spans="1:6" ht="15" x14ac:dyDescent="0.25">
      <c r="A767" s="41"/>
      <c r="B767" s="59" t="s">
        <v>102</v>
      </c>
      <c r="C767" s="41"/>
      <c r="D767" s="41"/>
      <c r="E767" s="41"/>
      <c r="F767" s="41"/>
    </row>
    <row r="768" spans="1:6" ht="15" x14ac:dyDescent="0.25">
      <c r="A768" s="41"/>
      <c r="B768" s="59" t="s">
        <v>103</v>
      </c>
      <c r="C768" s="41"/>
      <c r="D768" s="41"/>
      <c r="E768" s="41"/>
      <c r="F768" s="41"/>
    </row>
    <row r="769" spans="1:6" ht="15" x14ac:dyDescent="0.25">
      <c r="A769" s="41"/>
      <c r="B769" s="59"/>
      <c r="C769" s="41"/>
      <c r="D769" s="41"/>
      <c r="E769" s="41"/>
      <c r="F769" s="41"/>
    </row>
    <row r="770" spans="1:6" ht="15" x14ac:dyDescent="0.25">
      <c r="A770" s="41"/>
      <c r="B770" s="59"/>
      <c r="C770" s="41"/>
      <c r="D770" s="41"/>
      <c r="E770" s="41"/>
      <c r="F770" s="41"/>
    </row>
    <row r="771" spans="1:6" ht="15" x14ac:dyDescent="0.25">
      <c r="A771" s="41"/>
      <c r="B771" s="59"/>
      <c r="C771" s="41"/>
      <c r="D771" s="41"/>
      <c r="E771" s="41"/>
      <c r="F771" s="41"/>
    </row>
    <row r="772" spans="1:6" ht="15" x14ac:dyDescent="0.25">
      <c r="A772" s="41"/>
      <c r="B772" s="59"/>
      <c r="C772" s="41"/>
      <c r="D772" s="41"/>
      <c r="E772" s="41"/>
      <c r="F772" s="41"/>
    </row>
    <row r="773" spans="1:6" ht="15" x14ac:dyDescent="0.25">
      <c r="A773" s="41"/>
      <c r="B773" s="59"/>
      <c r="C773" s="41"/>
      <c r="D773" s="41"/>
      <c r="E773" s="41"/>
      <c r="F773" s="41"/>
    </row>
    <row r="774" spans="1:6" ht="15" x14ac:dyDescent="0.25">
      <c r="A774" s="41"/>
      <c r="B774" s="59"/>
      <c r="C774" s="41"/>
      <c r="D774" s="41"/>
      <c r="E774" s="41"/>
      <c r="F774" s="41"/>
    </row>
    <row r="775" spans="1:6" ht="15" x14ac:dyDescent="0.25">
      <c r="A775" s="41"/>
      <c r="B775" s="59"/>
      <c r="C775" s="41"/>
      <c r="D775" s="41"/>
      <c r="E775" s="41"/>
      <c r="F775" s="41"/>
    </row>
    <row r="776" spans="1:6" ht="15" x14ac:dyDescent="0.25">
      <c r="A776" s="41"/>
      <c r="B776" s="59"/>
      <c r="C776" s="41"/>
      <c r="D776" s="41"/>
      <c r="E776" s="41"/>
      <c r="F776" s="41"/>
    </row>
    <row r="777" spans="1:6" ht="15" x14ac:dyDescent="0.25">
      <c r="A777" s="41"/>
      <c r="B777" s="59"/>
      <c r="C777" s="41"/>
      <c r="D777" s="41"/>
      <c r="E777" s="41"/>
      <c r="F777" s="41"/>
    </row>
    <row r="778" spans="1:6" ht="15" x14ac:dyDescent="0.25">
      <c r="A778" s="41"/>
      <c r="B778" s="59"/>
      <c r="C778" s="41"/>
      <c r="D778" s="41"/>
      <c r="E778" s="41"/>
      <c r="F778" s="41"/>
    </row>
    <row r="779" spans="1:6" ht="15" x14ac:dyDescent="0.25">
      <c r="A779" s="41"/>
      <c r="B779" s="59"/>
      <c r="C779" s="41"/>
      <c r="D779" s="41"/>
      <c r="E779" s="41"/>
      <c r="F779" s="41"/>
    </row>
    <row r="780" spans="1:6" ht="15" x14ac:dyDescent="0.25">
      <c r="A780" s="41"/>
      <c r="B780" s="59"/>
      <c r="C780" s="41"/>
      <c r="D780" s="41"/>
      <c r="E780" s="41"/>
      <c r="F780" s="41"/>
    </row>
    <row r="781" spans="1:6" ht="15" x14ac:dyDescent="0.25">
      <c r="A781" s="41"/>
      <c r="B781" s="59"/>
      <c r="C781" s="41"/>
      <c r="D781" s="41"/>
      <c r="E781" s="41"/>
      <c r="F781" s="41"/>
    </row>
    <row r="782" spans="1:6" ht="15" x14ac:dyDescent="0.25">
      <c r="A782" s="41"/>
      <c r="B782" s="59"/>
      <c r="C782" s="41"/>
      <c r="D782" s="41"/>
      <c r="E782" s="41"/>
      <c r="F782" s="41"/>
    </row>
    <row r="783" spans="1:6" ht="15" x14ac:dyDescent="0.25">
      <c r="A783" s="41"/>
      <c r="B783" s="59"/>
      <c r="C783" s="41"/>
      <c r="D783" s="41"/>
      <c r="E783" s="41"/>
      <c r="F783" s="41"/>
    </row>
    <row r="784" spans="1:6" ht="15" x14ac:dyDescent="0.25">
      <c r="A784" s="41"/>
      <c r="B784" s="59"/>
      <c r="C784" s="41"/>
      <c r="D784" s="41"/>
      <c r="E784" s="41"/>
      <c r="F784" s="41"/>
    </row>
    <row r="785" spans="1:6" ht="15" x14ac:dyDescent="0.25">
      <c r="A785" s="41"/>
      <c r="B785" s="59"/>
      <c r="C785" s="41"/>
      <c r="D785" s="41"/>
      <c r="E785" s="41"/>
      <c r="F785" s="41"/>
    </row>
    <row r="786" spans="1:6" ht="15" x14ac:dyDescent="0.25">
      <c r="A786" s="41"/>
      <c r="B786" s="59"/>
      <c r="C786" s="41"/>
      <c r="D786" s="41"/>
      <c r="E786" s="41"/>
      <c r="F786" s="41"/>
    </row>
    <row r="787" spans="1:6" x14ac:dyDescent="0.3">
      <c r="A787" s="41"/>
      <c r="B787" s="59"/>
      <c r="C787" s="41"/>
      <c r="D787" s="41"/>
      <c r="E787" s="41"/>
      <c r="F787" s="41"/>
    </row>
    <row r="788" spans="1:6" x14ac:dyDescent="0.3">
      <c r="A788" s="41"/>
      <c r="B788" s="59"/>
      <c r="C788" s="41"/>
      <c r="D788" s="41"/>
      <c r="E788" s="41"/>
      <c r="F788" s="41"/>
    </row>
    <row r="789" spans="1:6" x14ac:dyDescent="0.3">
      <c r="A789" s="41"/>
      <c r="B789" s="59"/>
      <c r="C789" s="41"/>
      <c r="D789" s="41"/>
      <c r="E789" s="41"/>
      <c r="F789" s="4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255"/>
  <sheetViews>
    <sheetView tabSelected="1" workbookViewId="0">
      <pane xSplit="2" ySplit="4" topLeftCell="CC26" activePane="bottomRight" state="frozen"/>
      <selection activeCell="L404" sqref="L404"/>
      <selection pane="topRight" activeCell="L404" sqref="L404"/>
      <selection pane="bottomLeft" activeCell="L404" sqref="L404"/>
      <selection pane="bottomRight" activeCell="CO7" sqref="CO7"/>
    </sheetView>
  </sheetViews>
  <sheetFormatPr defaultRowHeight="14.4" x14ac:dyDescent="0.3"/>
  <cols>
    <col min="1" max="1" width="11.33203125" customWidth="1"/>
    <col min="2" max="13" width="9.109375" customWidth="1"/>
    <col min="33" max="33" width="10.5546875" customWidth="1"/>
    <col min="101" max="101" width="9.109375" style="58"/>
    <col min="102" max="105" width="9.109375" style="92"/>
    <col min="114" max="114" width="10" bestFit="1" customWidth="1"/>
  </cols>
  <sheetData>
    <row r="1" spans="1:125" ht="28.95" customHeight="1" x14ac:dyDescent="0.3">
      <c r="A1" s="185" t="s">
        <v>0</v>
      </c>
      <c r="B1" s="185" t="s">
        <v>1</v>
      </c>
      <c r="C1" s="187" t="s">
        <v>2</v>
      </c>
      <c r="D1" s="188"/>
      <c r="E1" s="188"/>
      <c r="F1" s="189"/>
      <c r="G1" s="193" t="s">
        <v>3</v>
      </c>
      <c r="H1" s="194"/>
      <c r="I1" s="187" t="s">
        <v>4</v>
      </c>
      <c r="J1" s="188"/>
      <c r="K1" s="188"/>
      <c r="L1" s="188"/>
      <c r="M1" s="189"/>
      <c r="N1" s="187" t="s">
        <v>5</v>
      </c>
      <c r="O1" s="188"/>
      <c r="P1" s="188"/>
      <c r="Q1" s="188"/>
      <c r="R1" s="189"/>
      <c r="S1" s="1" t="s">
        <v>6</v>
      </c>
      <c r="T1" s="1" t="s">
        <v>7</v>
      </c>
      <c r="U1" s="1" t="s">
        <v>8</v>
      </c>
      <c r="V1" s="113" t="s">
        <v>9</v>
      </c>
      <c r="W1" s="113" t="s">
        <v>10</v>
      </c>
      <c r="X1" s="203" t="s">
        <v>11</v>
      </c>
      <c r="Y1" s="204"/>
      <c r="Z1" s="204"/>
      <c r="AA1" s="204"/>
      <c r="AB1" s="204"/>
      <c r="AC1" s="204"/>
      <c r="AD1" s="204"/>
      <c r="AE1" s="205"/>
      <c r="AF1" s="198" t="s">
        <v>12</v>
      </c>
      <c r="AG1" s="198" t="s">
        <v>13</v>
      </c>
      <c r="AH1" s="215" t="s">
        <v>14</v>
      </c>
      <c r="AI1" s="216"/>
      <c r="AJ1" s="216"/>
      <c r="AK1" s="216"/>
      <c r="AL1" s="216"/>
      <c r="AM1" s="216"/>
      <c r="AN1" s="216"/>
      <c r="AO1" s="217"/>
      <c r="AP1" s="198" t="s">
        <v>15</v>
      </c>
      <c r="AQ1" s="198" t="s">
        <v>16</v>
      </c>
      <c r="AR1" s="187" t="s">
        <v>17</v>
      </c>
      <c r="AS1" s="188"/>
      <c r="AT1" s="188"/>
      <c r="AU1" s="188"/>
      <c r="AV1" s="188"/>
      <c r="AW1" s="188"/>
      <c r="AX1" s="188"/>
      <c r="AY1" s="189"/>
      <c r="AZ1" s="200" t="s">
        <v>18</v>
      </c>
      <c r="BA1" s="202"/>
      <c r="BB1" s="200" t="s">
        <v>19</v>
      </c>
      <c r="BC1" s="201"/>
      <c r="BD1" s="202"/>
      <c r="BE1" s="187" t="s">
        <v>359</v>
      </c>
      <c r="BF1" s="189"/>
      <c r="BG1" s="187" t="s">
        <v>366</v>
      </c>
      <c r="BH1" s="188"/>
      <c r="BI1" s="188"/>
      <c r="BJ1" s="189"/>
      <c r="BK1" s="185" t="s">
        <v>20</v>
      </c>
      <c r="BL1" s="187" t="s">
        <v>21</v>
      </c>
      <c r="BM1" s="188"/>
      <c r="BN1" s="188"/>
      <c r="BO1" s="188"/>
      <c r="BP1" s="188"/>
      <c r="BQ1" s="188"/>
      <c r="BR1" s="189"/>
      <c r="BS1" s="187" t="s">
        <v>22</v>
      </c>
      <c r="BT1" s="188"/>
      <c r="BU1" s="189"/>
      <c r="BV1" s="187" t="s">
        <v>23</v>
      </c>
      <c r="BW1" s="188"/>
      <c r="BX1" s="188"/>
      <c r="BY1" s="188"/>
      <c r="BZ1" s="188"/>
      <c r="CA1" s="188"/>
      <c r="CB1" s="189"/>
      <c r="CC1" s="213" t="s">
        <v>24</v>
      </c>
      <c r="CD1" s="213" t="s">
        <v>25</v>
      </c>
      <c r="CE1" s="215" t="s">
        <v>26</v>
      </c>
      <c r="CF1" s="216"/>
      <c r="CG1" s="216"/>
      <c r="CH1" s="216"/>
      <c r="CI1" s="216"/>
      <c r="CJ1" s="217"/>
      <c r="CK1" s="187" t="s">
        <v>27</v>
      </c>
      <c r="CL1" s="188"/>
      <c r="CM1" s="188"/>
      <c r="CN1" s="189"/>
      <c r="CO1" s="187" t="s">
        <v>28</v>
      </c>
      <c r="CP1" s="188"/>
      <c r="CQ1" s="189"/>
      <c r="CR1" s="187" t="s">
        <v>29</v>
      </c>
      <c r="CS1" s="188"/>
      <c r="CT1" s="189"/>
      <c r="CU1" s="187" t="s">
        <v>30</v>
      </c>
      <c r="CV1" s="188"/>
      <c r="CW1" s="189"/>
      <c r="CX1" s="240" t="s">
        <v>401</v>
      </c>
      <c r="CY1" s="240"/>
      <c r="CZ1" s="240"/>
      <c r="DA1" s="240"/>
      <c r="DB1" s="240"/>
      <c r="DC1" s="188" t="s">
        <v>403</v>
      </c>
      <c r="DD1" s="188"/>
      <c r="DE1" s="188"/>
      <c r="DF1" s="188"/>
      <c r="DG1" s="189"/>
      <c r="DH1" s="234" t="s">
        <v>31</v>
      </c>
      <c r="DI1" s="235"/>
      <c r="DJ1" s="235"/>
      <c r="DK1" s="235"/>
      <c r="DL1" s="236"/>
      <c r="DM1" s="2" t="s">
        <v>32</v>
      </c>
      <c r="DN1" s="228" t="s">
        <v>33</v>
      </c>
      <c r="DO1" s="229"/>
      <c r="DP1" s="229"/>
      <c r="DQ1" s="229"/>
      <c r="DR1" s="229"/>
      <c r="DS1" s="230"/>
      <c r="DT1" s="228" t="s">
        <v>34</v>
      </c>
      <c r="DU1" s="230"/>
    </row>
    <row r="2" spans="1:125" x14ac:dyDescent="0.3">
      <c r="A2" s="186"/>
      <c r="B2" s="186"/>
      <c r="C2" s="190"/>
      <c r="D2" s="191"/>
      <c r="E2" s="191"/>
      <c r="F2" s="192"/>
      <c r="G2" s="3"/>
      <c r="H2" s="114"/>
      <c r="I2" s="190"/>
      <c r="J2" s="191"/>
      <c r="K2" s="191"/>
      <c r="L2" s="191"/>
      <c r="M2" s="192"/>
      <c r="N2" s="190"/>
      <c r="O2" s="191"/>
      <c r="P2" s="191"/>
      <c r="Q2" s="191"/>
      <c r="R2" s="192"/>
      <c r="S2" s="4" t="s">
        <v>35</v>
      </c>
      <c r="T2" s="5" t="s">
        <v>36</v>
      </c>
      <c r="U2" s="5" t="s">
        <v>37</v>
      </c>
      <c r="V2" s="112"/>
      <c r="W2" s="112"/>
      <c r="X2" s="206"/>
      <c r="Y2" s="207"/>
      <c r="Z2" s="207"/>
      <c r="AA2" s="207"/>
      <c r="AB2" s="207"/>
      <c r="AC2" s="207"/>
      <c r="AD2" s="207"/>
      <c r="AE2" s="208"/>
      <c r="AF2" s="199"/>
      <c r="AG2" s="199"/>
      <c r="AH2" s="218"/>
      <c r="AI2" s="219"/>
      <c r="AJ2" s="219"/>
      <c r="AK2" s="219"/>
      <c r="AL2" s="219"/>
      <c r="AM2" s="219"/>
      <c r="AN2" s="219"/>
      <c r="AO2" s="220"/>
      <c r="AP2" s="199"/>
      <c r="AQ2" s="199"/>
      <c r="AR2" s="190"/>
      <c r="AS2" s="191"/>
      <c r="AT2" s="191"/>
      <c r="AU2" s="191"/>
      <c r="AV2" s="191"/>
      <c r="AW2" s="191"/>
      <c r="AX2" s="191"/>
      <c r="AY2" s="192"/>
      <c r="AZ2" s="114"/>
      <c r="BA2" s="6"/>
      <c r="BB2" s="200" t="s">
        <v>38</v>
      </c>
      <c r="BC2" s="201"/>
      <c r="BD2" s="202"/>
      <c r="BE2" s="112"/>
      <c r="BF2" s="112"/>
      <c r="BG2" s="190"/>
      <c r="BH2" s="191"/>
      <c r="BI2" s="191"/>
      <c r="BJ2" s="192"/>
      <c r="BK2" s="186"/>
      <c r="BL2" s="190"/>
      <c r="BM2" s="191"/>
      <c r="BN2" s="191"/>
      <c r="BO2" s="191"/>
      <c r="BP2" s="191"/>
      <c r="BQ2" s="191"/>
      <c r="BR2" s="192"/>
      <c r="BS2" s="190"/>
      <c r="BT2" s="191"/>
      <c r="BU2" s="192"/>
      <c r="BV2" s="190"/>
      <c r="BW2" s="191"/>
      <c r="BX2" s="191"/>
      <c r="BY2" s="191"/>
      <c r="BZ2" s="191"/>
      <c r="CA2" s="191"/>
      <c r="CB2" s="192"/>
      <c r="CC2" s="214"/>
      <c r="CD2" s="214"/>
      <c r="CE2" s="218"/>
      <c r="CF2" s="219"/>
      <c r="CG2" s="219"/>
      <c r="CH2" s="219"/>
      <c r="CI2" s="219"/>
      <c r="CJ2" s="220"/>
      <c r="CK2" s="190"/>
      <c r="CL2" s="191"/>
      <c r="CM2" s="191"/>
      <c r="CN2" s="192"/>
      <c r="CO2" s="190"/>
      <c r="CP2" s="191"/>
      <c r="CQ2" s="192"/>
      <c r="CR2" s="190"/>
      <c r="CS2" s="191"/>
      <c r="CT2" s="192"/>
      <c r="CU2" s="190"/>
      <c r="CV2" s="191"/>
      <c r="CW2" s="192"/>
      <c r="CX2" s="240"/>
      <c r="CY2" s="240"/>
      <c r="CZ2" s="240"/>
      <c r="DA2" s="240"/>
      <c r="DB2" s="240"/>
      <c r="DC2" s="191"/>
      <c r="DD2" s="191"/>
      <c r="DE2" s="191"/>
      <c r="DF2" s="191"/>
      <c r="DG2" s="192"/>
      <c r="DH2" s="223" t="s">
        <v>39</v>
      </c>
      <c r="DI2" s="224"/>
      <c r="DJ2" s="223" t="s">
        <v>40</v>
      </c>
      <c r="DK2" s="225"/>
      <c r="DL2" s="224"/>
      <c r="DM2" s="7"/>
      <c r="DN2" s="231"/>
      <c r="DO2" s="232"/>
      <c r="DP2" s="232"/>
      <c r="DQ2" s="232"/>
      <c r="DR2" s="232"/>
      <c r="DS2" s="233"/>
      <c r="DT2" s="231"/>
      <c r="DU2" s="233"/>
    </row>
    <row r="3" spans="1:125" x14ac:dyDescent="0.3">
      <c r="A3" s="8"/>
      <c r="B3" s="8"/>
      <c r="C3" s="9"/>
      <c r="D3" s="10"/>
      <c r="E3" s="108"/>
      <c r="F3" s="11"/>
      <c r="G3" s="12"/>
      <c r="H3" s="108"/>
      <c r="I3" s="9"/>
      <c r="J3" s="11"/>
      <c r="K3" s="11"/>
      <c r="L3" s="11"/>
      <c r="M3" s="10"/>
      <c r="N3" s="9"/>
      <c r="O3" s="11"/>
      <c r="P3" s="11"/>
      <c r="Q3" s="11"/>
      <c r="R3" s="10"/>
      <c r="S3" s="195" t="s">
        <v>41</v>
      </c>
      <c r="T3" s="196"/>
      <c r="U3" s="197"/>
      <c r="V3" s="200" t="s">
        <v>42</v>
      </c>
      <c r="W3" s="202"/>
      <c r="X3" s="10"/>
      <c r="Y3" s="10"/>
      <c r="Z3" s="10"/>
      <c r="AA3" s="10"/>
      <c r="AB3" s="10"/>
      <c r="AC3" s="10"/>
      <c r="AD3" s="10"/>
      <c r="AE3" s="10"/>
      <c r="AF3" s="13"/>
      <c r="AG3" s="14"/>
      <c r="AH3" s="14"/>
      <c r="AI3" s="14"/>
      <c r="AJ3" s="14"/>
      <c r="AK3" s="14"/>
      <c r="AL3" s="14"/>
      <c r="AM3" s="14"/>
      <c r="AN3" s="14"/>
      <c r="AO3" s="14"/>
      <c r="AP3" s="13"/>
      <c r="AQ3" s="14"/>
      <c r="AR3" s="9"/>
      <c r="AS3" s="11"/>
      <c r="AT3" s="11"/>
      <c r="AU3" s="11"/>
      <c r="AV3" s="11"/>
      <c r="AW3" s="11"/>
      <c r="AX3" s="11"/>
      <c r="AY3" s="10"/>
      <c r="AZ3" s="108"/>
      <c r="BA3" s="15"/>
      <c r="BB3" s="106"/>
      <c r="BC3" s="107"/>
      <c r="BD3" s="16"/>
      <c r="BE3" s="16" t="s">
        <v>360</v>
      </c>
      <c r="BF3" s="16" t="s">
        <v>361</v>
      </c>
      <c r="BG3" s="16" t="s">
        <v>362</v>
      </c>
      <c r="BH3" s="16" t="s">
        <v>363</v>
      </c>
      <c r="BI3" s="16" t="s">
        <v>364</v>
      </c>
      <c r="BJ3" s="16" t="s">
        <v>365</v>
      </c>
      <c r="BK3" s="108"/>
      <c r="BL3" s="9"/>
      <c r="BM3" s="11"/>
      <c r="BN3" s="11"/>
      <c r="BO3" s="10"/>
      <c r="BP3" s="11"/>
      <c r="BQ3" s="11"/>
      <c r="BR3" s="11"/>
      <c r="BS3" s="9"/>
      <c r="BT3" s="11"/>
      <c r="BU3" s="11"/>
      <c r="BV3" s="9"/>
      <c r="BW3" s="11"/>
      <c r="BX3" s="11"/>
      <c r="BY3" s="11"/>
      <c r="BZ3" s="11"/>
      <c r="CA3" s="11"/>
      <c r="CB3" s="10"/>
      <c r="CC3" s="17"/>
      <c r="CD3" s="18"/>
      <c r="CE3" s="19"/>
      <c r="CF3" s="20"/>
      <c r="CG3" s="20"/>
      <c r="CH3" s="20"/>
      <c r="CI3" s="20"/>
      <c r="CJ3" s="21"/>
      <c r="CK3" s="9"/>
      <c r="CL3" s="11"/>
      <c r="CM3" s="11"/>
      <c r="CN3" s="10"/>
      <c r="CO3" s="9"/>
      <c r="CP3" s="11"/>
      <c r="CQ3" s="11"/>
      <c r="CR3" s="9"/>
      <c r="CS3" s="10"/>
      <c r="CT3" s="11"/>
      <c r="CU3" s="9"/>
      <c r="CV3" s="11"/>
      <c r="CW3" s="114"/>
      <c r="CX3" s="200"/>
      <c r="CY3" s="201"/>
      <c r="CZ3" s="201"/>
      <c r="DA3" s="201"/>
      <c r="DB3" s="202"/>
      <c r="DC3" s="200"/>
      <c r="DD3" s="201"/>
      <c r="DE3" s="201"/>
      <c r="DF3" s="201"/>
      <c r="DG3" s="202"/>
      <c r="DH3" s="22"/>
      <c r="DI3" s="23"/>
      <c r="DJ3" s="22"/>
      <c r="DK3" s="24"/>
      <c r="DL3" s="24"/>
      <c r="DM3" s="25"/>
      <c r="DN3" s="26"/>
      <c r="DO3" s="27"/>
      <c r="DP3" s="27"/>
      <c r="DQ3" s="27"/>
      <c r="DR3" s="27"/>
      <c r="DS3" s="28"/>
      <c r="DT3" s="26"/>
      <c r="DU3" s="28"/>
    </row>
    <row r="4" spans="1:125" s="33" customFormat="1" ht="73.5" customHeight="1" x14ac:dyDescent="0.3">
      <c r="A4" s="29"/>
      <c r="B4" s="29"/>
      <c r="C4" s="29" t="s">
        <v>43</v>
      </c>
      <c r="D4" s="29" t="s">
        <v>44</v>
      </c>
      <c r="E4" s="29" t="s">
        <v>45</v>
      </c>
      <c r="F4" s="29" t="s">
        <v>46</v>
      </c>
      <c r="G4" s="29" t="s">
        <v>43</v>
      </c>
      <c r="H4" s="29" t="s">
        <v>44</v>
      </c>
      <c r="I4" s="29" t="s">
        <v>43</v>
      </c>
      <c r="J4" s="29" t="s">
        <v>44</v>
      </c>
      <c r="K4" s="29" t="s">
        <v>47</v>
      </c>
      <c r="L4" s="29" t="s">
        <v>48</v>
      </c>
      <c r="M4" s="29" t="s">
        <v>46</v>
      </c>
      <c r="N4" s="29" t="s">
        <v>43</v>
      </c>
      <c r="O4" s="29" t="s">
        <v>44</v>
      </c>
      <c r="P4" s="29" t="s">
        <v>47</v>
      </c>
      <c r="Q4" s="29" t="s">
        <v>48</v>
      </c>
      <c r="R4" s="29" t="s">
        <v>46</v>
      </c>
      <c r="S4" s="30" t="s">
        <v>49</v>
      </c>
      <c r="T4" s="30" t="s">
        <v>50</v>
      </c>
      <c r="U4" s="30" t="s">
        <v>51</v>
      </c>
      <c r="V4" s="30" t="s">
        <v>52</v>
      </c>
      <c r="W4" s="30" t="s">
        <v>53</v>
      </c>
      <c r="X4" s="30" t="s">
        <v>54</v>
      </c>
      <c r="Y4" s="30" t="s">
        <v>55</v>
      </c>
      <c r="Z4" s="30" t="s">
        <v>56</v>
      </c>
      <c r="AA4" s="30" t="s">
        <v>57</v>
      </c>
      <c r="AB4" s="30" t="s">
        <v>58</v>
      </c>
      <c r="AC4" s="30" t="s">
        <v>59</v>
      </c>
      <c r="AD4" s="30" t="s">
        <v>60</v>
      </c>
      <c r="AE4" s="30" t="s">
        <v>61</v>
      </c>
      <c r="AF4" s="29" t="s">
        <v>62</v>
      </c>
      <c r="AG4" s="29" t="s">
        <v>62</v>
      </c>
      <c r="AH4" s="30" t="s">
        <v>54</v>
      </c>
      <c r="AI4" s="30" t="s">
        <v>55</v>
      </c>
      <c r="AJ4" s="30" t="s">
        <v>56</v>
      </c>
      <c r="AK4" s="30" t="s">
        <v>57</v>
      </c>
      <c r="AL4" s="30" t="s">
        <v>58</v>
      </c>
      <c r="AM4" s="30" t="s">
        <v>59</v>
      </c>
      <c r="AN4" s="30" t="s">
        <v>60</v>
      </c>
      <c r="AO4" s="30" t="s">
        <v>61</v>
      </c>
      <c r="AP4" s="30" t="s">
        <v>63</v>
      </c>
      <c r="AQ4" s="29"/>
      <c r="AR4" s="29" t="s">
        <v>54</v>
      </c>
      <c r="AS4" s="29" t="s">
        <v>55</v>
      </c>
      <c r="AT4" s="29" t="s">
        <v>56</v>
      </c>
      <c r="AU4" s="29" t="s">
        <v>57</v>
      </c>
      <c r="AV4" s="29" t="s">
        <v>58</v>
      </c>
      <c r="AW4" s="29" t="s">
        <v>59</v>
      </c>
      <c r="AX4" s="29" t="s">
        <v>60</v>
      </c>
      <c r="AY4" s="29" t="s">
        <v>61</v>
      </c>
      <c r="AZ4" s="29">
        <v>44</v>
      </c>
      <c r="BA4" s="29" t="s">
        <v>64</v>
      </c>
      <c r="BB4" s="29" t="s">
        <v>65</v>
      </c>
      <c r="BC4" s="30" t="s">
        <v>66</v>
      </c>
      <c r="BD4" s="30" t="s">
        <v>67</v>
      </c>
      <c r="BE4" s="30"/>
      <c r="BF4" s="30"/>
      <c r="BG4" s="30"/>
      <c r="BH4" s="30"/>
      <c r="BI4" s="30"/>
      <c r="BJ4" s="30"/>
      <c r="BK4" s="29"/>
      <c r="BL4" s="29" t="s">
        <v>43</v>
      </c>
      <c r="BM4" s="29" t="s">
        <v>44</v>
      </c>
      <c r="BN4" s="29" t="s">
        <v>46</v>
      </c>
      <c r="BO4" s="209" t="s">
        <v>68</v>
      </c>
      <c r="BP4" s="210"/>
      <c r="BQ4" s="30" t="s">
        <v>69</v>
      </c>
      <c r="BR4" s="30" t="s">
        <v>70</v>
      </c>
      <c r="BS4" s="29" t="s">
        <v>43</v>
      </c>
      <c r="BT4" s="31" t="s">
        <v>44</v>
      </c>
      <c r="BU4" s="31" t="s">
        <v>46</v>
      </c>
      <c r="BV4" s="211" t="s">
        <v>71</v>
      </c>
      <c r="BW4" s="212"/>
      <c r="BX4" s="211" t="s">
        <v>55</v>
      </c>
      <c r="BY4" s="212"/>
      <c r="BZ4" s="211" t="s">
        <v>56</v>
      </c>
      <c r="CA4" s="212"/>
      <c r="CB4" s="32" t="s">
        <v>72</v>
      </c>
      <c r="CC4" s="30" t="s">
        <v>73</v>
      </c>
      <c r="CD4" s="30" t="s">
        <v>73</v>
      </c>
      <c r="CE4" s="29" t="s">
        <v>54</v>
      </c>
      <c r="CF4" s="29" t="s">
        <v>55</v>
      </c>
      <c r="CG4" s="29" t="s">
        <v>56</v>
      </c>
      <c r="CH4" s="29" t="s">
        <v>57</v>
      </c>
      <c r="CI4" s="29" t="s">
        <v>58</v>
      </c>
      <c r="CJ4" s="29" t="s">
        <v>59</v>
      </c>
      <c r="CK4" s="221" t="s">
        <v>74</v>
      </c>
      <c r="CL4" s="222"/>
      <c r="CM4" s="30" t="s">
        <v>75</v>
      </c>
      <c r="CN4" s="29" t="s">
        <v>76</v>
      </c>
      <c r="CO4" s="29" t="s">
        <v>77</v>
      </c>
      <c r="CP4" s="29" t="s">
        <v>78</v>
      </c>
      <c r="CQ4" s="30" t="s">
        <v>79</v>
      </c>
      <c r="CR4" s="29" t="s">
        <v>43</v>
      </c>
      <c r="CS4" s="29" t="s">
        <v>80</v>
      </c>
      <c r="CT4" s="29" t="s">
        <v>398</v>
      </c>
      <c r="CU4" s="29" t="s">
        <v>43</v>
      </c>
      <c r="CV4" s="110" t="s">
        <v>80</v>
      </c>
      <c r="CW4" s="29" t="s">
        <v>398</v>
      </c>
      <c r="CX4" s="111" t="s">
        <v>399</v>
      </c>
      <c r="CY4" s="109" t="s">
        <v>404</v>
      </c>
      <c r="CZ4" s="111" t="s">
        <v>400</v>
      </c>
      <c r="DA4" s="111" t="s">
        <v>48</v>
      </c>
      <c r="DB4" s="111" t="s">
        <v>46</v>
      </c>
      <c r="DC4" s="111" t="s">
        <v>399</v>
      </c>
      <c r="DD4" s="109" t="s">
        <v>404</v>
      </c>
      <c r="DE4" s="111" t="s">
        <v>400</v>
      </c>
      <c r="DF4" s="111" t="s">
        <v>48</v>
      </c>
      <c r="DG4" s="111" t="s">
        <v>46</v>
      </c>
      <c r="DH4" s="29" t="s">
        <v>43</v>
      </c>
      <c r="DI4" s="29" t="s">
        <v>44</v>
      </c>
      <c r="DJ4" s="29" t="s">
        <v>43</v>
      </c>
      <c r="DK4" s="29" t="s">
        <v>44</v>
      </c>
      <c r="DL4" s="29" t="s">
        <v>81</v>
      </c>
      <c r="DM4" s="29"/>
      <c r="DN4" s="29">
        <v>18</v>
      </c>
      <c r="DO4" s="29">
        <v>44</v>
      </c>
      <c r="DP4" s="29">
        <v>60</v>
      </c>
      <c r="DQ4" s="29">
        <v>100</v>
      </c>
      <c r="DR4" s="29">
        <v>-100</v>
      </c>
      <c r="DS4" s="29" t="s">
        <v>82</v>
      </c>
      <c r="DT4" s="29" t="s">
        <v>83</v>
      </c>
      <c r="DU4" s="29" t="s">
        <v>84</v>
      </c>
    </row>
    <row r="5" spans="1:125" s="48" customFormat="1" ht="16.5" customHeight="1" x14ac:dyDescent="0.3">
      <c r="A5" s="34">
        <v>46266</v>
      </c>
      <c r="B5" s="74" t="s">
        <v>85</v>
      </c>
      <c r="C5" s="36">
        <v>2.83</v>
      </c>
      <c r="D5" s="36">
        <v>4.05</v>
      </c>
      <c r="E5" s="36">
        <v>0.77</v>
      </c>
      <c r="F5" s="36">
        <v>1.23</v>
      </c>
      <c r="G5" s="36">
        <v>2.76</v>
      </c>
      <c r="H5" s="36">
        <v>3.7</v>
      </c>
      <c r="I5" s="36">
        <v>2.74</v>
      </c>
      <c r="J5" s="36">
        <v>2.25</v>
      </c>
      <c r="K5" s="37">
        <f t="shared" ref="K5:K47" si="0">J5+I5</f>
        <v>4.99</v>
      </c>
      <c r="L5" s="37">
        <v>5.62</v>
      </c>
      <c r="M5" s="36">
        <v>3.32</v>
      </c>
      <c r="N5" s="36">
        <v>3.83</v>
      </c>
      <c r="O5" s="36">
        <v>2.17</v>
      </c>
      <c r="P5" s="37">
        <f t="shared" ref="P5:P47" si="1">N5+O5</f>
        <v>6</v>
      </c>
      <c r="Q5" s="36">
        <v>5.48</v>
      </c>
      <c r="R5" s="36">
        <v>3.31</v>
      </c>
      <c r="S5" s="38">
        <f t="shared" ref="S5:S47" si="2">C5/E5</f>
        <v>3.6753246753246755</v>
      </c>
      <c r="T5" s="38">
        <f t="shared" ref="T5:T47" si="3">N5/R5</f>
        <v>1.1570996978851964</v>
      </c>
      <c r="U5" s="38">
        <f>M5/J5</f>
        <v>1.4755555555555555</v>
      </c>
      <c r="V5" s="39">
        <f t="shared" ref="V5:V48" si="4">2*(E5)/C5</f>
        <v>0.54416961130742048</v>
      </c>
      <c r="W5" s="39">
        <f t="shared" ref="W5:W47" si="5">P5/Q5</f>
        <v>1.0948905109489051</v>
      </c>
      <c r="X5" s="41">
        <v>2.54</v>
      </c>
      <c r="Y5" s="41">
        <v>2.6</v>
      </c>
      <c r="Z5" s="41">
        <v>2.86</v>
      </c>
      <c r="AA5" s="41"/>
      <c r="AB5" s="41"/>
      <c r="AC5" s="36">
        <v>2.6</v>
      </c>
      <c r="AD5" s="36">
        <v>2.8</v>
      </c>
      <c r="AE5" s="36">
        <v>2.64</v>
      </c>
      <c r="AF5" s="42">
        <v>2.67</v>
      </c>
      <c r="AG5" s="43" t="e">
        <f t="shared" ref="AG5:AG47" si="6">IF(OR(AF5="*", AF5="**",AF5=""),0,((H4-AF5)/(H4-AP5)*100))</f>
        <v>#VALUE!</v>
      </c>
      <c r="AH5" s="41">
        <v>2.34</v>
      </c>
      <c r="AI5" s="41">
        <v>2.14</v>
      </c>
      <c r="AJ5" s="41"/>
      <c r="AK5" s="41">
        <v>2.14</v>
      </c>
      <c r="AL5" s="41">
        <v>2.3199999999999998</v>
      </c>
      <c r="AM5" s="36"/>
      <c r="AN5" s="36">
        <v>2.1</v>
      </c>
      <c r="AO5" s="36">
        <v>2.3199999999999998</v>
      </c>
      <c r="AP5" s="42">
        <v>2.23</v>
      </c>
      <c r="AQ5" s="43" t="e">
        <f>IF(OR(AP5="*", AP5="**",AP5 =""),0,(AF5-AP5)/(H4-AP5)*100)</f>
        <v>#VALUE!</v>
      </c>
      <c r="AR5" s="44">
        <v>0.44</v>
      </c>
      <c r="AS5" s="41">
        <v>0.09</v>
      </c>
      <c r="AT5" s="41"/>
      <c r="AU5" s="41">
        <v>0.39</v>
      </c>
      <c r="AV5" s="41">
        <v>0.17</v>
      </c>
      <c r="AW5" s="41"/>
      <c r="AX5" s="41">
        <v>0.06</v>
      </c>
      <c r="AY5" s="41">
        <v>0.03</v>
      </c>
      <c r="AZ5" s="41">
        <v>71.099999999999994</v>
      </c>
      <c r="BA5" s="41" t="s">
        <v>86</v>
      </c>
      <c r="BB5" s="36">
        <v>880</v>
      </c>
      <c r="BC5" s="36">
        <v>86</v>
      </c>
      <c r="BD5" s="36">
        <v>72</v>
      </c>
      <c r="BE5" s="36">
        <v>0.18</v>
      </c>
      <c r="BF5" s="36">
        <v>0.14000000000000001</v>
      </c>
      <c r="BG5" s="36"/>
      <c r="BH5" s="36"/>
      <c r="BI5" s="36"/>
      <c r="BJ5" s="36"/>
      <c r="BK5" s="36">
        <v>0.25</v>
      </c>
      <c r="BL5" s="45">
        <v>3.9</v>
      </c>
      <c r="BM5" s="36">
        <v>2.06</v>
      </c>
      <c r="BN5" s="36">
        <v>3.34</v>
      </c>
      <c r="BO5" s="63">
        <v>117</v>
      </c>
      <c r="BP5" s="98">
        <v>74</v>
      </c>
      <c r="BQ5" s="43">
        <f t="shared" ref="BQ5:BQ46" si="7">(BN5/BM5)</f>
        <v>1.6213592233009708</v>
      </c>
      <c r="BR5" s="47">
        <f t="shared" ref="BR5:BR46" si="8">BL5/BN5</f>
        <v>1.1676646706586826</v>
      </c>
      <c r="BS5" s="45">
        <v>2.06</v>
      </c>
      <c r="BT5" s="41">
        <v>4.07</v>
      </c>
      <c r="BU5" s="41">
        <v>1.3</v>
      </c>
      <c r="BV5" s="41"/>
      <c r="BW5" s="41"/>
      <c r="BX5" s="41"/>
      <c r="BY5" s="41"/>
      <c r="BZ5" s="41">
        <v>26.3</v>
      </c>
      <c r="CA5" s="41"/>
      <c r="CB5" s="41"/>
      <c r="CC5" s="41">
        <v>0.31</v>
      </c>
      <c r="CD5" s="36">
        <v>-0.12</v>
      </c>
      <c r="CE5" s="36"/>
      <c r="CF5" s="36">
        <v>2.44</v>
      </c>
      <c r="CG5" s="36"/>
      <c r="CH5" s="36">
        <v>2.42</v>
      </c>
      <c r="CI5" s="36"/>
      <c r="CJ5" s="117">
        <v>2.34</v>
      </c>
      <c r="CK5" s="238" t="s">
        <v>514</v>
      </c>
      <c r="CL5" s="239"/>
      <c r="CM5" s="36" t="s">
        <v>135</v>
      </c>
      <c r="CN5" s="36" t="s">
        <v>515</v>
      </c>
      <c r="CO5" s="36">
        <v>3.6999999999999998E-2</v>
      </c>
      <c r="CP5" s="36">
        <v>1.2E-2</v>
      </c>
      <c r="CQ5" s="36">
        <v>2.2000000000000002</v>
      </c>
      <c r="CR5" s="36">
        <v>29.5</v>
      </c>
      <c r="CS5" s="36">
        <v>6.3</v>
      </c>
      <c r="CT5" s="36">
        <v>531</v>
      </c>
      <c r="CU5" s="36">
        <v>4.2</v>
      </c>
      <c r="CV5" s="61">
        <v>127.2</v>
      </c>
      <c r="CW5" s="41">
        <v>886</v>
      </c>
      <c r="CX5" s="66">
        <v>0.84</v>
      </c>
      <c r="CY5" s="66"/>
      <c r="CZ5" s="66">
        <v>0.3</v>
      </c>
      <c r="DA5" s="66">
        <v>0.2</v>
      </c>
      <c r="DB5" s="66">
        <v>0.1</v>
      </c>
      <c r="DC5" s="36">
        <v>0.28000000000000003</v>
      </c>
      <c r="DD5" s="36">
        <v>5.3</v>
      </c>
      <c r="DE5" s="36"/>
      <c r="DF5" s="36">
        <v>0.01</v>
      </c>
      <c r="DG5" s="36">
        <v>0.01</v>
      </c>
      <c r="DH5" s="61">
        <v>680</v>
      </c>
      <c r="DI5" s="36">
        <v>1156</v>
      </c>
      <c r="DJ5" s="36">
        <v>11628</v>
      </c>
      <c r="DK5" s="36">
        <v>1904</v>
      </c>
      <c r="DL5" s="36" t="s">
        <v>86</v>
      </c>
      <c r="DM5" s="36"/>
      <c r="DN5" s="36"/>
      <c r="DO5" s="36"/>
      <c r="DP5" s="36"/>
      <c r="DQ5" s="36"/>
      <c r="DR5" s="36"/>
      <c r="DS5" s="36"/>
      <c r="DT5" s="36"/>
      <c r="DU5" s="36"/>
    </row>
    <row r="6" spans="1:125" s="48" customFormat="1" ht="16.5" customHeight="1" x14ac:dyDescent="0.3">
      <c r="A6" s="34"/>
      <c r="B6" s="74" t="s">
        <v>102</v>
      </c>
      <c r="C6" s="36">
        <v>2.88</v>
      </c>
      <c r="D6" s="36">
        <v>4.04</v>
      </c>
      <c r="E6" s="36">
        <v>0.8</v>
      </c>
      <c r="F6" s="36">
        <v>1.36</v>
      </c>
      <c r="G6" s="36">
        <v>2.88</v>
      </c>
      <c r="H6" s="36">
        <v>3.56</v>
      </c>
      <c r="I6" s="36">
        <v>2.68</v>
      </c>
      <c r="J6" s="36">
        <v>2.33</v>
      </c>
      <c r="K6" s="37">
        <f t="shared" si="0"/>
        <v>5.01</v>
      </c>
      <c r="L6" s="37">
        <v>5.62</v>
      </c>
      <c r="M6" s="36">
        <v>3.24</v>
      </c>
      <c r="N6" s="36">
        <v>3.73</v>
      </c>
      <c r="O6" s="36">
        <v>2.27</v>
      </c>
      <c r="P6" s="37">
        <f t="shared" si="1"/>
        <v>6</v>
      </c>
      <c r="Q6" s="36">
        <v>5.46</v>
      </c>
      <c r="R6" s="36">
        <v>3.19</v>
      </c>
      <c r="S6" s="38">
        <f t="shared" si="2"/>
        <v>3.5999999999999996</v>
      </c>
      <c r="T6" s="38">
        <f t="shared" si="3"/>
        <v>1.1692789968652038</v>
      </c>
      <c r="U6" s="38">
        <f>M6/J6</f>
        <v>1.3905579399141632</v>
      </c>
      <c r="V6" s="39">
        <f t="shared" si="4"/>
        <v>0.55555555555555558</v>
      </c>
      <c r="W6" s="39">
        <f t="shared" si="5"/>
        <v>1.098901098901099</v>
      </c>
      <c r="X6" s="41">
        <v>2.58</v>
      </c>
      <c r="Y6" s="41"/>
      <c r="Z6" s="41">
        <v>2.6</v>
      </c>
      <c r="AA6" s="41">
        <v>2.6</v>
      </c>
      <c r="AB6" s="41">
        <v>2.76</v>
      </c>
      <c r="AC6" s="36">
        <v>2.86</v>
      </c>
      <c r="AD6" s="36">
        <v>2.74</v>
      </c>
      <c r="AE6" s="36">
        <v>2.66</v>
      </c>
      <c r="AF6" s="42">
        <v>2.68</v>
      </c>
      <c r="AG6" s="43">
        <f t="shared" si="6"/>
        <v>76.119402985074615</v>
      </c>
      <c r="AH6" s="41">
        <v>2.2599999999999998</v>
      </c>
      <c r="AI6" s="41"/>
      <c r="AJ6" s="41"/>
      <c r="AK6" s="41">
        <v>2.16</v>
      </c>
      <c r="AL6" s="41">
        <v>2.44</v>
      </c>
      <c r="AM6" s="36"/>
      <c r="AN6" s="36">
        <v>2.48</v>
      </c>
      <c r="AO6" s="36">
        <v>2.34</v>
      </c>
      <c r="AP6" s="42">
        <v>2.36</v>
      </c>
      <c r="AQ6" s="43">
        <f t="shared" ref="AQ6:AQ47" si="9">IF(OR(AP6="*", AP6="**",AP6 =""),0,(AF6-AP6)/(H5-AP6)*100)</f>
        <v>23.880597014925389</v>
      </c>
      <c r="AR6" s="44">
        <v>0.33</v>
      </c>
      <c r="AS6" s="41">
        <v>0.16</v>
      </c>
      <c r="AT6" s="41"/>
      <c r="AU6" s="41">
        <v>0.2</v>
      </c>
      <c r="AV6" s="41">
        <v>0.24</v>
      </c>
      <c r="AW6" s="41"/>
      <c r="AX6" s="41">
        <v>0.04</v>
      </c>
      <c r="AY6" s="41">
        <v>0.04</v>
      </c>
      <c r="AZ6" s="41">
        <v>69.8</v>
      </c>
      <c r="BA6" s="41" t="s">
        <v>86</v>
      </c>
      <c r="BB6" s="36">
        <v>631</v>
      </c>
      <c r="BC6" s="36">
        <v>75</v>
      </c>
      <c r="BD6" s="36">
        <v>83</v>
      </c>
      <c r="BE6" s="36">
        <v>0.23</v>
      </c>
      <c r="BF6" s="36">
        <v>0.12</v>
      </c>
      <c r="BG6" s="36"/>
      <c r="BH6" s="36"/>
      <c r="BI6" s="36"/>
      <c r="BJ6" s="36"/>
      <c r="BK6" s="36">
        <v>0.26</v>
      </c>
      <c r="BL6" s="45">
        <v>3.86</v>
      </c>
      <c r="BM6" s="36">
        <v>2</v>
      </c>
      <c r="BN6" s="36">
        <v>3.4</v>
      </c>
      <c r="BO6" s="63">
        <v>69</v>
      </c>
      <c r="BP6" s="98">
        <v>98</v>
      </c>
      <c r="BQ6" s="43">
        <f t="shared" si="7"/>
        <v>1.7</v>
      </c>
      <c r="BR6" s="47">
        <f t="shared" si="8"/>
        <v>1.1352941176470588</v>
      </c>
      <c r="BS6" s="45">
        <v>2.1800000000000002</v>
      </c>
      <c r="BT6" s="41">
        <v>4.13</v>
      </c>
      <c r="BU6" s="41"/>
      <c r="BV6" s="41">
        <v>25.3</v>
      </c>
      <c r="BW6" s="41"/>
      <c r="BX6" s="41"/>
      <c r="BY6" s="41"/>
      <c r="BZ6" s="41">
        <v>21</v>
      </c>
      <c r="CA6" s="41"/>
      <c r="CB6" s="41"/>
      <c r="CC6" s="41">
        <v>0.26</v>
      </c>
      <c r="CD6" s="36">
        <v>0.06</v>
      </c>
      <c r="CE6" s="36"/>
      <c r="CF6" s="36">
        <v>2.6</v>
      </c>
      <c r="CG6" s="36"/>
      <c r="CH6" s="36">
        <v>2.58</v>
      </c>
      <c r="CI6" s="36"/>
      <c r="CJ6" s="117">
        <v>2.6</v>
      </c>
      <c r="CK6" s="238" t="s">
        <v>516</v>
      </c>
      <c r="CL6" s="239"/>
      <c r="CM6" s="36" t="s">
        <v>517</v>
      </c>
      <c r="CN6" s="36" t="s">
        <v>518</v>
      </c>
      <c r="CO6" s="36">
        <v>3.7999999999999999E-2</v>
      </c>
      <c r="CP6" s="36">
        <v>1.2E-2</v>
      </c>
      <c r="CQ6" s="36"/>
      <c r="CR6" s="36"/>
      <c r="CS6" s="36"/>
      <c r="CT6" s="36"/>
      <c r="CU6" s="36" t="s">
        <v>100</v>
      </c>
      <c r="CV6" s="61" t="s">
        <v>100</v>
      </c>
      <c r="CW6" s="41"/>
      <c r="CX6" s="66"/>
      <c r="CY6" s="66"/>
      <c r="CZ6" s="66"/>
      <c r="DA6" s="66"/>
      <c r="DB6" s="66"/>
      <c r="DC6" s="36"/>
      <c r="DD6" s="36"/>
      <c r="DE6" s="36"/>
      <c r="DF6" s="36"/>
      <c r="DG6" s="36"/>
      <c r="DH6" s="61">
        <v>816</v>
      </c>
      <c r="DI6" s="36">
        <v>1564</v>
      </c>
      <c r="DJ6" s="36">
        <v>5304</v>
      </c>
      <c r="DK6" s="36">
        <v>1020</v>
      </c>
      <c r="DL6" s="36" t="s">
        <v>86</v>
      </c>
      <c r="DM6" s="36"/>
      <c r="DN6" s="36">
        <v>3.6</v>
      </c>
      <c r="DO6" s="36">
        <v>25.6</v>
      </c>
      <c r="DP6" s="36">
        <v>20.8</v>
      </c>
      <c r="DQ6" s="36">
        <v>29.8</v>
      </c>
      <c r="DR6" s="36">
        <v>20.2</v>
      </c>
      <c r="DS6" s="36">
        <v>227</v>
      </c>
      <c r="DT6" s="36"/>
      <c r="DU6" s="36"/>
    </row>
    <row r="7" spans="1:125" s="48" customFormat="1" ht="16.5" customHeight="1" x14ac:dyDescent="0.3">
      <c r="A7" s="34"/>
      <c r="B7" s="74" t="s">
        <v>103</v>
      </c>
      <c r="C7" s="36">
        <v>2.8</v>
      </c>
      <c r="D7" s="36">
        <v>4.04</v>
      </c>
      <c r="E7" s="36">
        <v>0.76</v>
      </c>
      <c r="F7" s="36">
        <v>1.23</v>
      </c>
      <c r="G7" s="36">
        <v>2.88</v>
      </c>
      <c r="H7" s="36">
        <v>3.56</v>
      </c>
      <c r="I7" s="36">
        <v>2.72</v>
      </c>
      <c r="J7" s="36">
        <v>2.34</v>
      </c>
      <c r="K7" s="37">
        <f t="shared" si="0"/>
        <v>5.0600000000000005</v>
      </c>
      <c r="L7" s="37">
        <v>5.49</v>
      </c>
      <c r="M7" s="36">
        <v>3.15</v>
      </c>
      <c r="N7" s="36">
        <v>3.74</v>
      </c>
      <c r="O7" s="36">
        <v>2.2599999999999998</v>
      </c>
      <c r="P7" s="37">
        <f t="shared" si="1"/>
        <v>6</v>
      </c>
      <c r="Q7" s="36">
        <v>5.32</v>
      </c>
      <c r="R7" s="36">
        <v>3.06</v>
      </c>
      <c r="S7" s="38">
        <f t="shared" si="2"/>
        <v>3.6842105263157894</v>
      </c>
      <c r="T7" s="38">
        <f t="shared" si="3"/>
        <v>1.2222222222222223</v>
      </c>
      <c r="U7" s="38">
        <f>M7/J7</f>
        <v>1.3461538461538463</v>
      </c>
      <c r="V7" s="39">
        <f t="shared" si="4"/>
        <v>0.54285714285714293</v>
      </c>
      <c r="W7" s="39">
        <f t="shared" si="5"/>
        <v>1.1278195488721805</v>
      </c>
      <c r="X7" s="41"/>
      <c r="Y7" s="41"/>
      <c r="Z7" s="41"/>
      <c r="AA7" s="41"/>
      <c r="AB7" s="41"/>
      <c r="AC7" s="36"/>
      <c r="AD7" s="36"/>
      <c r="AE7" s="36"/>
      <c r="AF7" s="42"/>
      <c r="AG7" s="43">
        <f t="shared" si="6"/>
        <v>0</v>
      </c>
      <c r="AH7" s="41"/>
      <c r="AI7" s="41"/>
      <c r="AJ7" s="41"/>
      <c r="AK7" s="41"/>
      <c r="AL7" s="41"/>
      <c r="AM7" s="36"/>
      <c r="AN7" s="36"/>
      <c r="AO7" s="36"/>
      <c r="AP7" s="42"/>
      <c r="AQ7" s="43">
        <f t="shared" si="9"/>
        <v>0</v>
      </c>
      <c r="AR7" s="44">
        <v>0.39</v>
      </c>
      <c r="AS7" s="41" t="s">
        <v>100</v>
      </c>
      <c r="AT7" s="41" t="s">
        <v>100</v>
      </c>
      <c r="AU7" s="41">
        <v>0.25</v>
      </c>
      <c r="AV7" s="41">
        <v>0.3</v>
      </c>
      <c r="AW7" s="41" t="s">
        <v>100</v>
      </c>
      <c r="AX7" s="41">
        <v>0.1</v>
      </c>
      <c r="AY7" s="41">
        <v>0.12</v>
      </c>
      <c r="AZ7" s="41">
        <v>75.7</v>
      </c>
      <c r="BA7" s="41" t="s">
        <v>86</v>
      </c>
      <c r="BB7" s="36">
        <v>650</v>
      </c>
      <c r="BC7" s="36">
        <v>156</v>
      </c>
      <c r="BD7" s="36">
        <v>180</v>
      </c>
      <c r="BE7" s="36">
        <v>0.21</v>
      </c>
      <c r="BF7" s="36">
        <v>0.13</v>
      </c>
      <c r="BG7" s="36"/>
      <c r="BH7" s="36"/>
      <c r="BI7" s="36"/>
      <c r="BJ7" s="36"/>
      <c r="BK7" s="36">
        <v>0.27</v>
      </c>
      <c r="BL7" s="45">
        <v>3.68</v>
      </c>
      <c r="BM7" s="36">
        <v>2.2000000000000002</v>
      </c>
      <c r="BN7" s="36">
        <v>3.16</v>
      </c>
      <c r="BO7" s="63">
        <v>82</v>
      </c>
      <c r="BP7" s="98">
        <v>75</v>
      </c>
      <c r="BQ7" s="43">
        <f t="shared" si="7"/>
        <v>1.4363636363636363</v>
      </c>
      <c r="BR7" s="47">
        <f t="shared" si="8"/>
        <v>1.1645569620253164</v>
      </c>
      <c r="BS7" s="45">
        <v>1.97</v>
      </c>
      <c r="BT7" s="41">
        <v>4.12</v>
      </c>
      <c r="BU7" s="41" t="s">
        <v>100</v>
      </c>
      <c r="BV7" s="41">
        <v>24</v>
      </c>
      <c r="BW7" s="41">
        <v>23</v>
      </c>
      <c r="BX7" s="41"/>
      <c r="BY7" s="41"/>
      <c r="BZ7" s="41"/>
      <c r="CA7" s="41"/>
      <c r="CB7" s="41"/>
      <c r="CC7" s="41">
        <v>0.31</v>
      </c>
      <c r="CD7" s="36">
        <v>0.12</v>
      </c>
      <c r="CE7" s="36" t="s">
        <v>100</v>
      </c>
      <c r="CF7" s="36">
        <v>2.36</v>
      </c>
      <c r="CG7" s="36" t="s">
        <v>100</v>
      </c>
      <c r="CH7" s="36">
        <v>2.2000000000000002</v>
      </c>
      <c r="CI7" s="36" t="s">
        <v>100</v>
      </c>
      <c r="CJ7" s="118">
        <v>2.2999999999999998</v>
      </c>
      <c r="CK7" s="238" t="s">
        <v>519</v>
      </c>
      <c r="CL7" s="239"/>
      <c r="CM7" s="36" t="s">
        <v>144</v>
      </c>
      <c r="CN7" s="36" t="s">
        <v>520</v>
      </c>
      <c r="CO7" s="36">
        <v>3.7999999999999999E-2</v>
      </c>
      <c r="CP7" s="36">
        <v>1.2E-2</v>
      </c>
      <c r="CQ7" s="36"/>
      <c r="CR7" s="36"/>
      <c r="CS7" s="36"/>
      <c r="CT7" s="36"/>
      <c r="CU7" s="36">
        <v>3.7</v>
      </c>
      <c r="CV7" s="61">
        <v>106</v>
      </c>
      <c r="CW7" s="41"/>
      <c r="CX7" s="66"/>
      <c r="CY7" s="66"/>
      <c r="CZ7" s="66"/>
      <c r="DA7" s="66"/>
      <c r="DB7" s="66"/>
      <c r="DC7" s="36"/>
      <c r="DD7" s="36"/>
      <c r="DE7" s="36"/>
      <c r="DF7" s="36"/>
      <c r="DG7" s="36"/>
      <c r="DH7" s="61" t="s">
        <v>100</v>
      </c>
      <c r="DI7" s="36" t="s">
        <v>100</v>
      </c>
      <c r="DJ7" s="36">
        <v>3400</v>
      </c>
      <c r="DK7" s="36">
        <v>1632</v>
      </c>
      <c r="DL7" s="36" t="s">
        <v>376</v>
      </c>
      <c r="DM7" s="36"/>
      <c r="DN7" s="36"/>
      <c r="DO7" s="36"/>
      <c r="DP7" s="36"/>
      <c r="DQ7" s="36"/>
      <c r="DR7" s="36"/>
      <c r="DS7" s="36"/>
      <c r="DT7" s="36"/>
      <c r="DU7" s="36"/>
    </row>
    <row r="8" spans="1:125" s="48" customFormat="1" ht="16.5" customHeight="1" x14ac:dyDescent="0.3">
      <c r="A8" s="34">
        <v>46267</v>
      </c>
      <c r="B8" s="74" t="s">
        <v>85</v>
      </c>
      <c r="C8" s="36">
        <v>3.42</v>
      </c>
      <c r="D8" s="36">
        <v>3.84</v>
      </c>
      <c r="E8" s="36">
        <v>0.78</v>
      </c>
      <c r="F8" s="36">
        <v>1.22</v>
      </c>
      <c r="G8" s="36">
        <v>2.76</v>
      </c>
      <c r="H8" s="36">
        <v>3.6</v>
      </c>
      <c r="I8" s="36">
        <v>2.75</v>
      </c>
      <c r="J8" s="36">
        <v>2.23</v>
      </c>
      <c r="K8" s="37">
        <f t="shared" si="0"/>
        <v>4.9800000000000004</v>
      </c>
      <c r="L8" s="37">
        <v>5.62</v>
      </c>
      <c r="M8" s="36">
        <v>3.39</v>
      </c>
      <c r="N8" s="36">
        <v>3.55</v>
      </c>
      <c r="O8" s="36">
        <v>2.14</v>
      </c>
      <c r="P8" s="37">
        <f t="shared" si="1"/>
        <v>5.6899999999999995</v>
      </c>
      <c r="Q8" s="36">
        <v>5.38</v>
      </c>
      <c r="R8" s="36">
        <v>3.24</v>
      </c>
      <c r="S8" s="38">
        <f t="shared" si="2"/>
        <v>4.3846153846153841</v>
      </c>
      <c r="T8" s="38">
        <f t="shared" si="3"/>
        <v>1.095679012345679</v>
      </c>
      <c r="U8" s="38">
        <f t="shared" ref="U8:U47" si="10">M8/J8</f>
        <v>1.5201793721973096</v>
      </c>
      <c r="V8" s="39">
        <f t="shared" si="4"/>
        <v>0.45614035087719301</v>
      </c>
      <c r="W8" s="39">
        <f t="shared" si="5"/>
        <v>1.0576208178438662</v>
      </c>
      <c r="X8" s="41">
        <v>2.8</v>
      </c>
      <c r="Y8" s="41">
        <v>2.8</v>
      </c>
      <c r="Z8" s="41">
        <v>2.68</v>
      </c>
      <c r="AA8" s="41">
        <v>2.88</v>
      </c>
      <c r="AB8" s="41">
        <v>2.76</v>
      </c>
      <c r="AC8" s="36">
        <v>2.8</v>
      </c>
      <c r="AD8" s="36">
        <v>3</v>
      </c>
      <c r="AE8" s="36" t="s">
        <v>100</v>
      </c>
      <c r="AF8" s="42">
        <v>2.84</v>
      </c>
      <c r="AG8" s="43">
        <f t="shared" si="6"/>
        <v>53.333333333333343</v>
      </c>
      <c r="AH8" s="41">
        <v>2.2000000000000002</v>
      </c>
      <c r="AI8" s="41">
        <v>2.1800000000000002</v>
      </c>
      <c r="AJ8" s="41" t="s">
        <v>100</v>
      </c>
      <c r="AK8" s="41">
        <v>2.14</v>
      </c>
      <c r="AL8" s="41">
        <v>2.2599999999999998</v>
      </c>
      <c r="AM8" s="36" t="s">
        <v>100</v>
      </c>
      <c r="AN8" s="36">
        <v>2.2799999999999998</v>
      </c>
      <c r="AO8" s="36">
        <v>2.48</v>
      </c>
      <c r="AP8" s="42">
        <v>2.21</v>
      </c>
      <c r="AQ8" s="43">
        <f t="shared" si="9"/>
        <v>46.666666666666657</v>
      </c>
      <c r="AR8" s="44" t="s">
        <v>100</v>
      </c>
      <c r="AS8" s="41">
        <v>0.13</v>
      </c>
      <c r="AT8" s="41" t="s">
        <v>100</v>
      </c>
      <c r="AU8" s="41">
        <v>0.03</v>
      </c>
      <c r="AV8" s="41">
        <v>0.19</v>
      </c>
      <c r="AW8" s="41" t="s">
        <v>100</v>
      </c>
      <c r="AX8" s="41">
        <v>0.09</v>
      </c>
      <c r="AY8" s="41">
        <v>0.02</v>
      </c>
      <c r="AZ8" s="41">
        <v>65.5</v>
      </c>
      <c r="BA8" s="41" t="s">
        <v>86</v>
      </c>
      <c r="BB8" s="36">
        <v>562</v>
      </c>
      <c r="BC8" s="36">
        <v>87</v>
      </c>
      <c r="BD8" s="36">
        <v>80</v>
      </c>
      <c r="BE8" s="36">
        <v>0.24</v>
      </c>
      <c r="BF8" s="36">
        <v>0.1</v>
      </c>
      <c r="BG8" s="36"/>
      <c r="BH8" s="36"/>
      <c r="BI8" s="36"/>
      <c r="BJ8" s="36"/>
      <c r="BK8" s="36">
        <v>0.27</v>
      </c>
      <c r="BL8" s="45">
        <v>3.56</v>
      </c>
      <c r="BM8" s="36">
        <v>2.2000000000000002</v>
      </c>
      <c r="BN8" s="36">
        <v>3.24</v>
      </c>
      <c r="BO8" s="63">
        <v>145</v>
      </c>
      <c r="BP8" s="98">
        <v>105</v>
      </c>
      <c r="BQ8" s="43">
        <f t="shared" si="7"/>
        <v>1.4727272727272727</v>
      </c>
      <c r="BR8" s="47">
        <f t="shared" si="8"/>
        <v>1.0987654320987654</v>
      </c>
      <c r="BS8" s="45">
        <v>2.0299999999999998</v>
      </c>
      <c r="BT8" s="41">
        <v>3.9</v>
      </c>
      <c r="BU8" s="41">
        <v>1.36</v>
      </c>
      <c r="BV8" s="41">
        <v>22.3</v>
      </c>
      <c r="BW8" s="41">
        <v>20.8</v>
      </c>
      <c r="BX8" s="41"/>
      <c r="BY8" s="41"/>
      <c r="BZ8" s="41"/>
      <c r="CA8" s="41"/>
      <c r="CB8" s="41"/>
      <c r="CC8" s="41">
        <v>0.2</v>
      </c>
      <c r="CD8" s="36">
        <v>0.18</v>
      </c>
      <c r="CE8" s="36">
        <v>2.2799999999999998</v>
      </c>
      <c r="CF8" s="36">
        <v>2.34</v>
      </c>
      <c r="CG8" s="36" t="s">
        <v>100</v>
      </c>
      <c r="CH8" s="36" t="s">
        <v>100</v>
      </c>
      <c r="CI8" s="36" t="s">
        <v>104</v>
      </c>
      <c r="CJ8" s="119">
        <v>2.2999999999999998</v>
      </c>
      <c r="CK8" s="238" t="s">
        <v>351</v>
      </c>
      <c r="CL8" s="239"/>
      <c r="CM8" s="36" t="s">
        <v>522</v>
      </c>
      <c r="CN8" s="36" t="s">
        <v>523</v>
      </c>
      <c r="CO8" s="36">
        <v>3.9E-2</v>
      </c>
      <c r="CP8" s="36">
        <v>1.2999999999999999E-2</v>
      </c>
      <c r="CQ8" s="36">
        <v>2.2999999999999998</v>
      </c>
      <c r="CR8" s="36">
        <v>31.4</v>
      </c>
      <c r="CS8" s="36">
        <v>5.3</v>
      </c>
      <c r="CT8" s="36">
        <v>106</v>
      </c>
      <c r="CU8" s="36">
        <v>2.2000000000000002</v>
      </c>
      <c r="CV8" s="61">
        <v>142</v>
      </c>
      <c r="CW8" s="41">
        <v>638</v>
      </c>
      <c r="CX8" s="66">
        <v>0.78</v>
      </c>
      <c r="CY8" s="66" t="s">
        <v>86</v>
      </c>
      <c r="CZ8" s="66">
        <v>0.16</v>
      </c>
      <c r="DA8" s="66">
        <v>0.8</v>
      </c>
      <c r="DB8" s="66">
        <v>0.64</v>
      </c>
      <c r="DC8" s="36">
        <v>0.48</v>
      </c>
      <c r="DD8" s="36">
        <v>12.7</v>
      </c>
      <c r="DE8" s="36" t="s">
        <v>86</v>
      </c>
      <c r="DF8" s="36">
        <v>0.01</v>
      </c>
      <c r="DG8" s="36">
        <v>0.01</v>
      </c>
      <c r="DH8" s="61">
        <v>340</v>
      </c>
      <c r="DI8" s="36">
        <v>1088</v>
      </c>
      <c r="DJ8" s="36">
        <v>6460</v>
      </c>
      <c r="DK8" s="36">
        <v>4880</v>
      </c>
      <c r="DL8" s="36" t="s">
        <v>86</v>
      </c>
      <c r="DM8" s="36"/>
      <c r="DN8" s="36"/>
      <c r="DO8" s="36"/>
      <c r="DP8" s="36"/>
      <c r="DQ8" s="36"/>
      <c r="DR8" s="36"/>
      <c r="DS8" s="36"/>
      <c r="DT8" s="36"/>
      <c r="DU8" s="36"/>
    </row>
    <row r="9" spans="1:125" s="48" customFormat="1" ht="16.5" customHeight="1" x14ac:dyDescent="0.3">
      <c r="A9" s="34"/>
      <c r="B9" s="74" t="s">
        <v>102</v>
      </c>
      <c r="C9" s="36">
        <v>3.6</v>
      </c>
      <c r="D9" s="36">
        <v>3.7</v>
      </c>
      <c r="E9" s="36">
        <v>0.82</v>
      </c>
      <c r="F9" s="36">
        <v>1.3</v>
      </c>
      <c r="G9" s="36">
        <v>2.82</v>
      </c>
      <c r="H9" s="36">
        <v>3.48</v>
      </c>
      <c r="I9" s="36">
        <v>2.74</v>
      </c>
      <c r="J9" s="36">
        <v>2.2999999999999998</v>
      </c>
      <c r="K9" s="37">
        <f t="shared" si="0"/>
        <v>5.04</v>
      </c>
      <c r="L9" s="37">
        <v>5.64</v>
      </c>
      <c r="M9" s="36">
        <v>3.34</v>
      </c>
      <c r="N9" s="36">
        <v>3.62</v>
      </c>
      <c r="O9" s="36">
        <v>2.16</v>
      </c>
      <c r="P9" s="37">
        <f t="shared" si="1"/>
        <v>5.78</v>
      </c>
      <c r="Q9" s="36">
        <v>5.4</v>
      </c>
      <c r="R9" s="36">
        <v>3.24</v>
      </c>
      <c r="S9" s="38">
        <f t="shared" si="2"/>
        <v>4.3902439024390247</v>
      </c>
      <c r="T9" s="38">
        <f t="shared" si="3"/>
        <v>1.1172839506172838</v>
      </c>
      <c r="U9" s="38">
        <f t="shared" si="10"/>
        <v>1.4521739130434783</v>
      </c>
      <c r="V9" s="39">
        <f t="shared" si="4"/>
        <v>0.45555555555555549</v>
      </c>
      <c r="W9" s="39">
        <f t="shared" si="5"/>
        <v>1.0703703703703704</v>
      </c>
      <c r="X9" s="41">
        <v>2.76</v>
      </c>
      <c r="Y9" s="41">
        <v>2.56</v>
      </c>
      <c r="Z9" s="41">
        <v>2.68</v>
      </c>
      <c r="AA9" s="41">
        <v>2.72</v>
      </c>
      <c r="AB9" s="41">
        <v>2.64</v>
      </c>
      <c r="AC9" s="36">
        <v>2.68</v>
      </c>
      <c r="AD9" s="36">
        <v>2.9</v>
      </c>
      <c r="AE9" s="36">
        <v>2.76</v>
      </c>
      <c r="AF9" s="42">
        <v>2.71</v>
      </c>
      <c r="AG9" s="43">
        <f t="shared" si="6"/>
        <v>61.805555555555571</v>
      </c>
      <c r="AH9" s="41">
        <v>2.06</v>
      </c>
      <c r="AI9" s="41">
        <v>2.1</v>
      </c>
      <c r="AJ9" s="41" t="s">
        <v>104</v>
      </c>
      <c r="AK9" s="41">
        <v>2.06</v>
      </c>
      <c r="AL9" s="41">
        <v>2.12</v>
      </c>
      <c r="AM9" s="36" t="s">
        <v>104</v>
      </c>
      <c r="AN9" s="36">
        <v>2.2799999999999998</v>
      </c>
      <c r="AO9" s="36">
        <v>2.48</v>
      </c>
      <c r="AP9" s="42">
        <v>2.16</v>
      </c>
      <c r="AQ9" s="43">
        <f t="shared" si="9"/>
        <v>38.194444444444429</v>
      </c>
      <c r="AR9" s="44">
        <v>0.28999999999999998</v>
      </c>
      <c r="AS9" s="41">
        <v>0.25</v>
      </c>
      <c r="AT9" s="41" t="s">
        <v>100</v>
      </c>
      <c r="AU9" s="41">
        <v>0.22</v>
      </c>
      <c r="AV9" s="41">
        <v>0.09</v>
      </c>
      <c r="AW9" s="41" t="s">
        <v>100</v>
      </c>
      <c r="AX9" s="41" t="s">
        <v>100</v>
      </c>
      <c r="AY9" s="41" t="s">
        <v>100</v>
      </c>
      <c r="AZ9" s="41">
        <v>73.2</v>
      </c>
      <c r="BA9" s="41" t="s">
        <v>86</v>
      </c>
      <c r="BB9" s="36">
        <v>501</v>
      </c>
      <c r="BC9" s="36">
        <v>79</v>
      </c>
      <c r="BD9" s="36">
        <v>71</v>
      </c>
      <c r="BE9" s="36">
        <v>0.2</v>
      </c>
      <c r="BF9" s="36">
        <v>0.14000000000000001</v>
      </c>
      <c r="BG9" s="36"/>
      <c r="BH9" s="36"/>
      <c r="BI9" s="36"/>
      <c r="BJ9" s="36"/>
      <c r="BK9" s="36">
        <v>0.27</v>
      </c>
      <c r="BL9" s="45">
        <v>3.62</v>
      </c>
      <c r="BM9" s="36">
        <v>2.1</v>
      </c>
      <c r="BN9" s="36">
        <v>3.3</v>
      </c>
      <c r="BO9" s="63">
        <v>72</v>
      </c>
      <c r="BP9" s="98"/>
      <c r="BQ9" s="43">
        <f t="shared" si="7"/>
        <v>1.5714285714285712</v>
      </c>
      <c r="BR9" s="47">
        <f t="shared" si="8"/>
        <v>1.0969696969696972</v>
      </c>
      <c r="BS9" s="45">
        <v>1.9</v>
      </c>
      <c r="BT9" s="41">
        <v>3.92</v>
      </c>
      <c r="BU9" s="41" t="s">
        <v>104</v>
      </c>
      <c r="BV9" s="41">
        <v>25.5</v>
      </c>
      <c r="BW9" s="41"/>
      <c r="BX9" s="41"/>
      <c r="BY9" s="41"/>
      <c r="BZ9" s="41"/>
      <c r="CA9" s="41"/>
      <c r="CB9" s="41"/>
      <c r="CC9" s="41">
        <v>0.3</v>
      </c>
      <c r="CD9" s="36">
        <v>-0.02</v>
      </c>
      <c r="CE9" s="36">
        <v>2.36</v>
      </c>
      <c r="CF9" s="36">
        <v>2.2000000000000002</v>
      </c>
      <c r="CG9" s="36" t="s">
        <v>104</v>
      </c>
      <c r="CH9" s="36" t="s">
        <v>104</v>
      </c>
      <c r="CI9" s="36" t="s">
        <v>104</v>
      </c>
      <c r="CJ9" s="120">
        <v>2.38</v>
      </c>
      <c r="CK9" s="238" t="s">
        <v>524</v>
      </c>
      <c r="CL9" s="239"/>
      <c r="CM9" s="36" t="s">
        <v>525</v>
      </c>
      <c r="CN9" s="36" t="s">
        <v>526</v>
      </c>
      <c r="CO9" s="36">
        <v>3.9E-2</v>
      </c>
      <c r="CP9" s="36">
        <v>1.2999999999999999E-2</v>
      </c>
      <c r="CQ9" s="36"/>
      <c r="CR9" s="36"/>
      <c r="CS9" s="36"/>
      <c r="CT9" s="36"/>
      <c r="CU9" s="36">
        <v>2.4</v>
      </c>
      <c r="CV9" s="61">
        <v>32.1</v>
      </c>
      <c r="CW9" s="41"/>
      <c r="CX9" s="66"/>
      <c r="CY9" s="66"/>
      <c r="CZ9" s="66"/>
      <c r="DA9" s="66"/>
      <c r="DB9" s="66"/>
      <c r="DC9" s="36"/>
      <c r="DD9" s="36"/>
      <c r="DE9" s="36"/>
      <c r="DF9" s="36"/>
      <c r="DG9" s="36"/>
      <c r="DH9" s="61">
        <v>3332</v>
      </c>
      <c r="DI9" s="36">
        <v>7684</v>
      </c>
      <c r="DJ9" s="36">
        <v>8568</v>
      </c>
      <c r="DK9" s="36">
        <v>952</v>
      </c>
      <c r="DL9" s="36" t="s">
        <v>185</v>
      </c>
      <c r="DM9" s="36"/>
      <c r="DN9" s="36">
        <v>2.5</v>
      </c>
      <c r="DO9" s="36">
        <v>30</v>
      </c>
      <c r="DP9" s="36">
        <v>17.399999999999999</v>
      </c>
      <c r="DQ9" s="36">
        <v>29.7</v>
      </c>
      <c r="DR9" s="36">
        <v>20.399999999999999</v>
      </c>
      <c r="DS9" s="36">
        <v>229</v>
      </c>
      <c r="DT9" s="36"/>
      <c r="DU9" s="36"/>
    </row>
    <row r="10" spans="1:125" s="48" customFormat="1" ht="16.5" customHeight="1" x14ac:dyDescent="0.3">
      <c r="A10" s="34"/>
      <c r="B10" s="74" t="s">
        <v>103</v>
      </c>
      <c r="C10" s="36">
        <v>2.79</v>
      </c>
      <c r="D10" s="36">
        <v>3.77</v>
      </c>
      <c r="E10" s="36">
        <v>0.8</v>
      </c>
      <c r="F10" s="36">
        <v>1.31</v>
      </c>
      <c r="G10" s="36">
        <v>2.82</v>
      </c>
      <c r="H10" s="36">
        <v>3.48</v>
      </c>
      <c r="I10" s="36">
        <v>2.74</v>
      </c>
      <c r="J10" s="36">
        <v>2.2400000000000002</v>
      </c>
      <c r="K10" s="37">
        <f t="shared" si="0"/>
        <v>4.9800000000000004</v>
      </c>
      <c r="L10" s="37">
        <v>5.61</v>
      </c>
      <c r="M10" s="36">
        <v>3.37</v>
      </c>
      <c r="N10" s="36">
        <v>3.75</v>
      </c>
      <c r="O10" s="36">
        <v>2.16</v>
      </c>
      <c r="P10" s="37">
        <f t="shared" si="1"/>
        <v>5.91</v>
      </c>
      <c r="Q10" s="36">
        <v>5.43</v>
      </c>
      <c r="R10" s="36">
        <v>3.27</v>
      </c>
      <c r="S10" s="38">
        <f t="shared" si="2"/>
        <v>3.4874999999999998</v>
      </c>
      <c r="T10" s="38">
        <f t="shared" si="3"/>
        <v>1.1467889908256881</v>
      </c>
      <c r="U10" s="38">
        <f t="shared" si="10"/>
        <v>1.5044642857142856</v>
      </c>
      <c r="V10" s="39">
        <f t="shared" si="4"/>
        <v>0.57347670250896055</v>
      </c>
      <c r="W10" s="39">
        <f t="shared" si="5"/>
        <v>1.0883977900552486</v>
      </c>
      <c r="X10" s="41"/>
      <c r="Y10" s="41"/>
      <c r="Z10" s="41"/>
      <c r="AA10" s="41"/>
      <c r="AB10" s="41"/>
      <c r="AC10" s="36"/>
      <c r="AD10" s="36"/>
      <c r="AE10" s="36"/>
      <c r="AF10" s="42"/>
      <c r="AG10" s="43">
        <f t="shared" si="6"/>
        <v>0</v>
      </c>
      <c r="AH10" s="41"/>
      <c r="AI10" s="41"/>
      <c r="AJ10" s="41"/>
      <c r="AK10" s="41"/>
      <c r="AL10" s="41"/>
      <c r="AM10" s="36"/>
      <c r="AN10" s="36"/>
      <c r="AO10" s="36"/>
      <c r="AP10" s="42"/>
      <c r="AQ10" s="43">
        <f t="shared" si="9"/>
        <v>0</v>
      </c>
      <c r="AR10" s="44">
        <v>0.4</v>
      </c>
      <c r="AS10" s="41">
        <v>0.44</v>
      </c>
      <c r="AT10" s="41"/>
      <c r="AU10" s="41">
        <v>0.24</v>
      </c>
      <c r="AV10" s="41">
        <v>0.14000000000000001</v>
      </c>
      <c r="AW10" s="41"/>
      <c r="AX10" s="41">
        <v>0.12</v>
      </c>
      <c r="AY10" s="41">
        <v>0.13</v>
      </c>
      <c r="AZ10" s="41">
        <v>73.5</v>
      </c>
      <c r="BA10" s="41" t="s">
        <v>86</v>
      </c>
      <c r="BB10" s="36">
        <v>595</v>
      </c>
      <c r="BC10" s="36">
        <v>99</v>
      </c>
      <c r="BD10" s="36">
        <v>88</v>
      </c>
      <c r="BE10" s="36">
        <v>0.22</v>
      </c>
      <c r="BF10" s="36">
        <v>0.12</v>
      </c>
      <c r="BG10" s="36"/>
      <c r="BH10" s="36"/>
      <c r="BI10" s="36"/>
      <c r="BJ10" s="36"/>
      <c r="BK10" s="36">
        <v>0.27</v>
      </c>
      <c r="BL10" s="45">
        <v>3.5</v>
      </c>
      <c r="BM10" s="36">
        <v>2.1</v>
      </c>
      <c r="BN10" s="36">
        <v>3.34</v>
      </c>
      <c r="BO10" s="63">
        <v>71</v>
      </c>
      <c r="BP10" s="98">
        <v>100</v>
      </c>
      <c r="BQ10" s="43">
        <f t="shared" si="7"/>
        <v>1.5904761904761904</v>
      </c>
      <c r="BR10" s="47">
        <f t="shared" si="8"/>
        <v>1.0479041916167664</v>
      </c>
      <c r="BS10" s="45">
        <v>2.13</v>
      </c>
      <c r="BT10" s="41">
        <v>3.88</v>
      </c>
      <c r="BU10" s="41"/>
      <c r="BV10" s="41"/>
      <c r="BW10" s="41"/>
      <c r="BX10" s="41">
        <v>24</v>
      </c>
      <c r="BY10" s="41">
        <v>23.3</v>
      </c>
      <c r="BZ10" s="41"/>
      <c r="CA10" s="41"/>
      <c r="CB10" s="41"/>
      <c r="CC10" s="41">
        <v>0.38</v>
      </c>
      <c r="CD10" s="36">
        <v>0.22</v>
      </c>
      <c r="CE10" s="36">
        <v>2.46</v>
      </c>
      <c r="CF10" s="36">
        <v>2.4</v>
      </c>
      <c r="CG10" s="36"/>
      <c r="CH10" s="36"/>
      <c r="CI10" s="36"/>
      <c r="CJ10" s="121">
        <v>2.2999999999999998</v>
      </c>
      <c r="CK10" s="238" t="s">
        <v>527</v>
      </c>
      <c r="CL10" s="239"/>
      <c r="CM10" s="36" t="s">
        <v>126</v>
      </c>
      <c r="CN10" s="36" t="s">
        <v>528</v>
      </c>
      <c r="CO10" s="36">
        <v>0.04</v>
      </c>
      <c r="CP10" s="36">
        <v>1.4E-2</v>
      </c>
      <c r="CQ10" s="36"/>
      <c r="CR10" s="36"/>
      <c r="CS10" s="36"/>
      <c r="CT10" s="36"/>
      <c r="CU10" s="36">
        <v>3.7</v>
      </c>
      <c r="CV10" s="61">
        <v>46.6</v>
      </c>
      <c r="CW10" s="41"/>
      <c r="CX10" s="66"/>
      <c r="CY10" s="66"/>
      <c r="CZ10" s="66"/>
      <c r="DA10" s="66"/>
      <c r="DB10" s="66"/>
      <c r="DC10" s="36"/>
      <c r="DD10" s="36"/>
      <c r="DE10" s="36"/>
      <c r="DF10" s="36"/>
      <c r="DG10" s="36"/>
      <c r="DH10" s="61">
        <v>3808</v>
      </c>
      <c r="DI10" s="36">
        <v>3400</v>
      </c>
      <c r="DJ10" s="36">
        <v>4692</v>
      </c>
      <c r="DK10" s="36">
        <v>1496</v>
      </c>
      <c r="DL10" s="36" t="s">
        <v>86</v>
      </c>
      <c r="DM10" s="36"/>
      <c r="DN10" s="36"/>
      <c r="DO10" s="36"/>
      <c r="DP10" s="36"/>
      <c r="DQ10" s="36"/>
      <c r="DR10" s="36"/>
      <c r="DS10" s="36"/>
      <c r="DT10" s="36"/>
      <c r="DU10" s="36"/>
    </row>
    <row r="11" spans="1:125" s="48" customFormat="1" ht="16.5" customHeight="1" x14ac:dyDescent="0.3">
      <c r="A11" s="34">
        <v>46268</v>
      </c>
      <c r="B11" s="74" t="s">
        <v>85</v>
      </c>
      <c r="C11" s="36">
        <v>2.68</v>
      </c>
      <c r="D11" s="36">
        <v>3.92</v>
      </c>
      <c r="E11" s="36">
        <v>0.82</v>
      </c>
      <c r="F11" s="36">
        <v>1.32</v>
      </c>
      <c r="G11" s="36">
        <v>2.66</v>
      </c>
      <c r="H11" s="36">
        <v>3.58</v>
      </c>
      <c r="I11" s="36">
        <v>2.72</v>
      </c>
      <c r="J11" s="36">
        <v>2.1800000000000002</v>
      </c>
      <c r="K11" s="37">
        <f t="shared" si="0"/>
        <v>4.9000000000000004</v>
      </c>
      <c r="L11" s="37">
        <v>5.62</v>
      </c>
      <c r="M11" s="36">
        <v>3.44</v>
      </c>
      <c r="N11" s="36">
        <v>3.55</v>
      </c>
      <c r="O11" s="36">
        <v>2.12</v>
      </c>
      <c r="P11" s="37">
        <f t="shared" si="1"/>
        <v>5.67</v>
      </c>
      <c r="Q11" s="36">
        <v>5.46</v>
      </c>
      <c r="R11" s="36">
        <v>3.34</v>
      </c>
      <c r="S11" s="38">
        <f t="shared" si="2"/>
        <v>3.2682926829268295</v>
      </c>
      <c r="T11" s="38">
        <f t="shared" si="3"/>
        <v>1.062874251497006</v>
      </c>
      <c r="U11" s="38">
        <f t="shared" si="10"/>
        <v>1.5779816513761467</v>
      </c>
      <c r="V11" s="39">
        <f t="shared" si="4"/>
        <v>0.61194029850746257</v>
      </c>
      <c r="W11" s="39">
        <f t="shared" si="5"/>
        <v>1.0384615384615385</v>
      </c>
      <c r="X11" s="41">
        <v>2.84</v>
      </c>
      <c r="Y11" s="41">
        <v>2.44</v>
      </c>
      <c r="Z11" s="41">
        <v>2.74</v>
      </c>
      <c r="AA11" s="41">
        <v>2.7</v>
      </c>
      <c r="AB11" s="41">
        <v>2.66</v>
      </c>
      <c r="AC11" s="36">
        <v>2.9</v>
      </c>
      <c r="AD11" s="36">
        <v>2.8</v>
      </c>
      <c r="AE11" s="36">
        <v>2.74</v>
      </c>
      <c r="AF11" s="42">
        <v>2.79</v>
      </c>
      <c r="AG11" s="43">
        <f t="shared" si="6"/>
        <v>51.492537313432841</v>
      </c>
      <c r="AH11" s="41">
        <v>2.16</v>
      </c>
      <c r="AI11" s="41">
        <v>2.2000000000000002</v>
      </c>
      <c r="AJ11" s="41" t="s">
        <v>100</v>
      </c>
      <c r="AK11" s="41">
        <v>2.04</v>
      </c>
      <c r="AL11" s="41">
        <v>2.12</v>
      </c>
      <c r="AM11" s="36" t="s">
        <v>100</v>
      </c>
      <c r="AN11" s="36">
        <v>2.1</v>
      </c>
      <c r="AO11" s="36">
        <v>2.2400000000000002</v>
      </c>
      <c r="AP11" s="42">
        <v>2.14</v>
      </c>
      <c r="AQ11" s="43">
        <f t="shared" si="9"/>
        <v>48.507462686567166</v>
      </c>
      <c r="AR11" s="44">
        <v>0.28000000000000003</v>
      </c>
      <c r="AS11" s="41">
        <v>0.34</v>
      </c>
      <c r="AT11" s="41" t="s">
        <v>100</v>
      </c>
      <c r="AU11" s="41">
        <v>0.15</v>
      </c>
      <c r="AV11" s="41">
        <v>0.26</v>
      </c>
      <c r="AW11" s="41" t="s">
        <v>100</v>
      </c>
      <c r="AX11" s="41">
        <v>0.1</v>
      </c>
      <c r="AY11" s="41">
        <v>0.08</v>
      </c>
      <c r="AZ11" s="41">
        <v>75.3</v>
      </c>
      <c r="BA11" s="41" t="s">
        <v>86</v>
      </c>
      <c r="BB11" s="36">
        <v>780</v>
      </c>
      <c r="BC11" s="36">
        <v>87</v>
      </c>
      <c r="BD11" s="36">
        <v>71</v>
      </c>
      <c r="BE11" s="36">
        <v>0.2</v>
      </c>
      <c r="BF11" s="36">
        <v>0.12</v>
      </c>
      <c r="BG11" s="36"/>
      <c r="BH11" s="36"/>
      <c r="BI11" s="36"/>
      <c r="BJ11" s="36"/>
      <c r="BK11" s="36">
        <v>0.31</v>
      </c>
      <c r="BL11" s="45">
        <v>3.46</v>
      </c>
      <c r="BM11" s="36">
        <v>2.12</v>
      </c>
      <c r="BN11" s="36">
        <v>3.28</v>
      </c>
      <c r="BO11" s="63">
        <v>159</v>
      </c>
      <c r="BP11" s="98">
        <v>77</v>
      </c>
      <c r="BQ11" s="43">
        <f t="shared" si="7"/>
        <v>1.5471698113207546</v>
      </c>
      <c r="BR11" s="47">
        <f t="shared" si="8"/>
        <v>1.0548780487804879</v>
      </c>
      <c r="BS11" s="45">
        <v>1.86</v>
      </c>
      <c r="BT11" s="41">
        <v>4.0599999999999996</v>
      </c>
      <c r="BU11" s="41">
        <v>1.32</v>
      </c>
      <c r="BV11" s="41"/>
      <c r="BW11" s="41"/>
      <c r="BX11" s="41">
        <v>21.3</v>
      </c>
      <c r="BY11" s="41">
        <v>22.6</v>
      </c>
      <c r="BZ11" s="41"/>
      <c r="CA11" s="41"/>
      <c r="CB11" s="41"/>
      <c r="CC11" s="41">
        <v>0.34</v>
      </c>
      <c r="CD11" s="36">
        <v>0.16</v>
      </c>
      <c r="CE11" s="36">
        <v>2.38</v>
      </c>
      <c r="CF11" s="36">
        <v>2.36</v>
      </c>
      <c r="CG11" s="36" t="s">
        <v>100</v>
      </c>
      <c r="CH11" s="36" t="s">
        <v>100</v>
      </c>
      <c r="CI11" s="36" t="s">
        <v>100</v>
      </c>
      <c r="CJ11" s="122" t="s">
        <v>100</v>
      </c>
      <c r="CK11" s="238" t="s">
        <v>531</v>
      </c>
      <c r="CL11" s="239"/>
      <c r="CM11" s="36" t="s">
        <v>139</v>
      </c>
      <c r="CN11" s="36" t="s">
        <v>437</v>
      </c>
      <c r="CO11" s="36">
        <v>3.9E-2</v>
      </c>
      <c r="CP11" s="36">
        <v>1.2E-2</v>
      </c>
      <c r="CQ11" s="41">
        <v>2.2999999999999998</v>
      </c>
      <c r="CR11" s="36">
        <v>32.299999999999997</v>
      </c>
      <c r="CS11" s="36">
        <v>5.3</v>
      </c>
      <c r="CT11" s="36">
        <v>266</v>
      </c>
      <c r="CU11" s="36">
        <v>3.2</v>
      </c>
      <c r="CV11" s="61">
        <v>37.1</v>
      </c>
      <c r="CW11" s="41">
        <v>479</v>
      </c>
      <c r="CX11" s="66">
        <v>1.1000000000000001</v>
      </c>
      <c r="CY11" s="66" t="s">
        <v>86</v>
      </c>
      <c r="CZ11" s="66">
        <v>0.4</v>
      </c>
      <c r="DA11" s="66">
        <v>0.9</v>
      </c>
      <c r="DB11" s="66">
        <v>0.5</v>
      </c>
      <c r="DC11" s="36">
        <v>0.42</v>
      </c>
      <c r="DD11" s="36" t="s">
        <v>100</v>
      </c>
      <c r="DE11" s="36" t="s">
        <v>100</v>
      </c>
      <c r="DF11" s="36">
        <v>0.02</v>
      </c>
      <c r="DG11" s="36">
        <v>0.02</v>
      </c>
      <c r="DH11" s="61">
        <v>680</v>
      </c>
      <c r="DI11" s="36">
        <v>1020</v>
      </c>
      <c r="DJ11" s="36">
        <v>4828</v>
      </c>
      <c r="DK11" s="36">
        <v>3060</v>
      </c>
      <c r="DL11" s="36" t="s">
        <v>86</v>
      </c>
      <c r="DM11" s="36"/>
      <c r="DN11" s="36"/>
      <c r="DO11" s="36"/>
      <c r="DP11" s="36"/>
      <c r="DQ11" s="36"/>
      <c r="DR11" s="36"/>
      <c r="DS11" s="36"/>
      <c r="DT11" s="36"/>
      <c r="DU11" s="36"/>
    </row>
    <row r="12" spans="1:125" s="48" customFormat="1" ht="16.5" customHeight="1" x14ac:dyDescent="0.3">
      <c r="A12" s="34"/>
      <c r="B12" s="74" t="s">
        <v>102</v>
      </c>
      <c r="C12" s="36">
        <v>2.71</v>
      </c>
      <c r="D12" s="36">
        <v>3.97</v>
      </c>
      <c r="E12" s="36">
        <v>0.82</v>
      </c>
      <c r="F12" s="36">
        <v>1.33</v>
      </c>
      <c r="G12" s="36">
        <v>2.7</v>
      </c>
      <c r="H12" s="36">
        <v>3.62</v>
      </c>
      <c r="I12" s="36">
        <v>2.71</v>
      </c>
      <c r="J12" s="36">
        <v>2.1800000000000002</v>
      </c>
      <c r="K12" s="37">
        <f t="shared" si="0"/>
        <v>4.8900000000000006</v>
      </c>
      <c r="L12" s="37">
        <v>5.68</v>
      </c>
      <c r="M12" s="36">
        <v>3.5</v>
      </c>
      <c r="N12" s="36">
        <v>3.6</v>
      </c>
      <c r="O12" s="36">
        <v>2.09</v>
      </c>
      <c r="P12" s="37">
        <f t="shared" si="1"/>
        <v>5.6899999999999995</v>
      </c>
      <c r="Q12" s="36">
        <v>5.5</v>
      </c>
      <c r="R12" s="36">
        <v>3.41</v>
      </c>
      <c r="S12" s="38">
        <f t="shared" si="2"/>
        <v>3.3048780487804881</v>
      </c>
      <c r="T12" s="38">
        <f t="shared" si="3"/>
        <v>1.0557184750733137</v>
      </c>
      <c r="U12" s="38">
        <f t="shared" si="10"/>
        <v>1.6055045871559632</v>
      </c>
      <c r="V12" s="39">
        <f t="shared" si="4"/>
        <v>0.60516605166051662</v>
      </c>
      <c r="W12" s="39">
        <f t="shared" si="5"/>
        <v>1.0345454545454544</v>
      </c>
      <c r="X12" s="41">
        <v>2.78</v>
      </c>
      <c r="Y12" s="41">
        <v>2.6</v>
      </c>
      <c r="Z12" s="41">
        <v>2.72</v>
      </c>
      <c r="AA12" s="41">
        <v>2.78</v>
      </c>
      <c r="AB12" s="41">
        <v>2.72</v>
      </c>
      <c r="AC12" s="36">
        <v>2.96</v>
      </c>
      <c r="AD12" s="36">
        <v>2.9</v>
      </c>
      <c r="AE12" s="36">
        <v>2.66</v>
      </c>
      <c r="AF12" s="42">
        <v>2.77</v>
      </c>
      <c r="AG12" s="43">
        <f t="shared" si="6"/>
        <v>57.04225352112676</v>
      </c>
      <c r="AH12" s="41">
        <v>2.16</v>
      </c>
      <c r="AI12" s="41">
        <v>2.2000000000000002</v>
      </c>
      <c r="AJ12" s="41" t="s">
        <v>104</v>
      </c>
      <c r="AK12" s="41">
        <v>2.1</v>
      </c>
      <c r="AL12" s="41">
        <v>2.2400000000000002</v>
      </c>
      <c r="AM12" s="36" t="s">
        <v>104</v>
      </c>
      <c r="AN12" s="36">
        <v>2.12</v>
      </c>
      <c r="AO12" s="36">
        <v>2.12</v>
      </c>
      <c r="AP12" s="42">
        <v>2.16</v>
      </c>
      <c r="AQ12" s="43">
        <f t="shared" si="9"/>
        <v>42.957746478873233</v>
      </c>
      <c r="AR12" s="44">
        <v>0.3</v>
      </c>
      <c r="AS12" s="41">
        <v>0.49</v>
      </c>
      <c r="AT12" s="41" t="s">
        <v>104</v>
      </c>
      <c r="AU12" s="41">
        <v>0.19</v>
      </c>
      <c r="AV12" s="41">
        <v>0.28000000000000003</v>
      </c>
      <c r="AW12" s="41" t="s">
        <v>104</v>
      </c>
      <c r="AX12" s="41" t="s">
        <v>104</v>
      </c>
      <c r="AY12" s="41">
        <v>0.05</v>
      </c>
      <c r="AZ12" s="41">
        <v>72.2</v>
      </c>
      <c r="BA12" s="41" t="s">
        <v>86</v>
      </c>
      <c r="BB12" s="36">
        <v>690</v>
      </c>
      <c r="BC12" s="36">
        <v>88</v>
      </c>
      <c r="BD12" s="36">
        <v>75</v>
      </c>
      <c r="BE12" s="36">
        <v>0.2</v>
      </c>
      <c r="BF12" s="36">
        <v>0.16</v>
      </c>
      <c r="BG12" s="36"/>
      <c r="BH12" s="36"/>
      <c r="BI12" s="36"/>
      <c r="BJ12" s="36"/>
      <c r="BK12" s="36">
        <v>0.3</v>
      </c>
      <c r="BL12" s="45">
        <v>3.56</v>
      </c>
      <c r="BM12" s="36">
        <v>2.08</v>
      </c>
      <c r="BN12" s="36">
        <v>3.4</v>
      </c>
      <c r="BO12" s="63">
        <v>96</v>
      </c>
      <c r="BP12" s="98">
        <v>127</v>
      </c>
      <c r="BQ12" s="43">
        <f t="shared" si="7"/>
        <v>1.6346153846153846</v>
      </c>
      <c r="BR12" s="47">
        <f t="shared" si="8"/>
        <v>1.0470588235294118</v>
      </c>
      <c r="BS12" s="45">
        <v>1.7</v>
      </c>
      <c r="BT12" s="41">
        <v>3.97</v>
      </c>
      <c r="BU12" s="41"/>
      <c r="BV12" s="41"/>
      <c r="BW12" s="41"/>
      <c r="BX12" s="41"/>
      <c r="BY12" s="41"/>
      <c r="BZ12" s="41">
        <v>20.6</v>
      </c>
      <c r="CA12" s="41">
        <v>22.3</v>
      </c>
      <c r="CB12" s="41"/>
      <c r="CC12" s="41">
        <v>0.19</v>
      </c>
      <c r="CD12" s="36">
        <v>-0.04</v>
      </c>
      <c r="CE12" s="36">
        <v>2.48</v>
      </c>
      <c r="CF12" s="36">
        <v>2.48</v>
      </c>
      <c r="CG12" s="36">
        <v>2.4</v>
      </c>
      <c r="CH12" s="36" t="s">
        <v>104</v>
      </c>
      <c r="CI12" s="36" t="s">
        <v>104</v>
      </c>
      <c r="CJ12" s="123" t="s">
        <v>104</v>
      </c>
      <c r="CK12" s="238" t="s">
        <v>412</v>
      </c>
      <c r="CL12" s="239"/>
      <c r="CM12" s="36" t="s">
        <v>112</v>
      </c>
      <c r="CN12" s="36" t="s">
        <v>532</v>
      </c>
      <c r="CO12" s="36">
        <v>0.04</v>
      </c>
      <c r="CP12" s="36">
        <v>1.4E-2</v>
      </c>
      <c r="CQ12" s="41"/>
      <c r="CR12" s="36"/>
      <c r="CS12" s="36"/>
      <c r="CT12" s="36"/>
      <c r="CU12" s="36">
        <v>3.7</v>
      </c>
      <c r="CV12" s="61">
        <v>47.7</v>
      </c>
      <c r="CW12" s="41"/>
      <c r="CX12" s="66"/>
      <c r="CY12" s="66"/>
      <c r="CZ12" s="66"/>
      <c r="DA12" s="66"/>
      <c r="DB12" s="66"/>
      <c r="DC12" s="36"/>
      <c r="DD12" s="36"/>
      <c r="DE12" s="36"/>
      <c r="DF12" s="36"/>
      <c r="DG12" s="36"/>
      <c r="DH12" s="61">
        <v>748</v>
      </c>
      <c r="DI12" s="36">
        <v>1428</v>
      </c>
      <c r="DJ12" s="36">
        <v>8092</v>
      </c>
      <c r="DK12" s="36">
        <v>1020</v>
      </c>
      <c r="DL12" s="36" t="s">
        <v>86</v>
      </c>
      <c r="DM12" s="36"/>
      <c r="DN12" s="36">
        <v>1.8</v>
      </c>
      <c r="DO12" s="36">
        <v>23.7</v>
      </c>
      <c r="DP12" s="36">
        <v>19.3</v>
      </c>
      <c r="DQ12" s="36">
        <v>39</v>
      </c>
      <c r="DR12" s="36">
        <v>16.2</v>
      </c>
      <c r="DS12" s="36">
        <v>226</v>
      </c>
      <c r="DT12" s="36"/>
      <c r="DU12" s="36"/>
    </row>
    <row r="13" spans="1:125" s="48" customFormat="1" ht="16.5" customHeight="1" x14ac:dyDescent="0.3">
      <c r="A13" s="34"/>
      <c r="B13" s="74" t="s">
        <v>103</v>
      </c>
      <c r="C13" s="36">
        <v>2.68</v>
      </c>
      <c r="D13" s="36">
        <v>3.95</v>
      </c>
      <c r="E13" s="36">
        <v>0.84</v>
      </c>
      <c r="F13" s="36">
        <v>1.35</v>
      </c>
      <c r="G13" s="36">
        <v>2.7</v>
      </c>
      <c r="H13" s="36">
        <v>3.62</v>
      </c>
      <c r="I13" s="36">
        <v>2.69</v>
      </c>
      <c r="J13" s="36">
        <v>2.16</v>
      </c>
      <c r="K13" s="37">
        <f t="shared" si="0"/>
        <v>4.8499999999999996</v>
      </c>
      <c r="L13" s="37">
        <v>5.65</v>
      </c>
      <c r="M13" s="36">
        <v>3.49</v>
      </c>
      <c r="N13" s="36">
        <v>3.67</v>
      </c>
      <c r="O13" s="36">
        <v>2.0699999999999998</v>
      </c>
      <c r="P13" s="37">
        <f t="shared" si="1"/>
        <v>5.74</v>
      </c>
      <c r="Q13" s="36">
        <v>5.5</v>
      </c>
      <c r="R13" s="36">
        <v>3.43</v>
      </c>
      <c r="S13" s="38">
        <f t="shared" si="2"/>
        <v>3.1904761904761907</v>
      </c>
      <c r="T13" s="38">
        <f t="shared" si="3"/>
        <v>1.0699708454810495</v>
      </c>
      <c r="U13" s="38">
        <f t="shared" si="10"/>
        <v>1.6157407407407407</v>
      </c>
      <c r="V13" s="39">
        <f t="shared" si="4"/>
        <v>0.62686567164179097</v>
      </c>
      <c r="W13" s="39">
        <f t="shared" si="5"/>
        <v>1.0436363636363637</v>
      </c>
      <c r="X13" s="41"/>
      <c r="Y13" s="41"/>
      <c r="Z13" s="41"/>
      <c r="AA13" s="41"/>
      <c r="AB13" s="41"/>
      <c r="AC13" s="36"/>
      <c r="AD13" s="36"/>
      <c r="AE13" s="36"/>
      <c r="AF13" s="42"/>
      <c r="AG13" s="43">
        <f t="shared" si="6"/>
        <v>0</v>
      </c>
      <c r="AH13" s="41"/>
      <c r="AI13" s="41"/>
      <c r="AJ13" s="41"/>
      <c r="AK13" s="41"/>
      <c r="AL13" s="41"/>
      <c r="AM13" s="36"/>
      <c r="AN13" s="36"/>
      <c r="AO13" s="36"/>
      <c r="AP13" s="42"/>
      <c r="AQ13" s="43">
        <f t="shared" si="9"/>
        <v>0</v>
      </c>
      <c r="AR13" s="44"/>
      <c r="AS13" s="41">
        <v>0.21</v>
      </c>
      <c r="AT13" s="41"/>
      <c r="AU13" s="41">
        <v>0.06</v>
      </c>
      <c r="AV13" s="41">
        <v>0.2</v>
      </c>
      <c r="AW13" s="41"/>
      <c r="AX13" s="41">
        <v>0.36</v>
      </c>
      <c r="AY13" s="41">
        <v>0.1</v>
      </c>
      <c r="AZ13" s="41">
        <v>72.7</v>
      </c>
      <c r="BA13" s="41" t="s">
        <v>86</v>
      </c>
      <c r="BB13" s="36">
        <v>768</v>
      </c>
      <c r="BC13" s="36">
        <v>78</v>
      </c>
      <c r="BD13" s="36">
        <v>64</v>
      </c>
      <c r="BE13" s="36">
        <v>0.21</v>
      </c>
      <c r="BF13" s="36">
        <v>0.14000000000000001</v>
      </c>
      <c r="BG13" s="36"/>
      <c r="BH13" s="36"/>
      <c r="BI13" s="36"/>
      <c r="BJ13" s="36"/>
      <c r="BK13" s="36">
        <v>0.28999999999999998</v>
      </c>
      <c r="BL13" s="45">
        <v>3.64</v>
      </c>
      <c r="BM13" s="36">
        <v>2.1</v>
      </c>
      <c r="BN13" s="36">
        <v>3.38</v>
      </c>
      <c r="BO13" s="63">
        <v>89</v>
      </c>
      <c r="BP13" s="98">
        <v>96</v>
      </c>
      <c r="BQ13" s="43">
        <f t="shared" si="7"/>
        <v>1.6095238095238094</v>
      </c>
      <c r="BR13" s="47">
        <f t="shared" si="8"/>
        <v>1.0769230769230771</v>
      </c>
      <c r="BS13" s="45">
        <v>1.62</v>
      </c>
      <c r="BT13" s="41">
        <v>4.05</v>
      </c>
      <c r="BU13" s="41"/>
      <c r="BV13" s="41"/>
      <c r="BW13" s="41"/>
      <c r="BX13" s="41"/>
      <c r="BY13" s="41"/>
      <c r="BZ13" s="41">
        <v>23.7</v>
      </c>
      <c r="CA13" s="41">
        <v>24.2</v>
      </c>
      <c r="CB13" s="125"/>
      <c r="CC13" s="41">
        <v>0.31</v>
      </c>
      <c r="CD13" s="36">
        <v>0</v>
      </c>
      <c r="CE13" s="36">
        <v>2.4</v>
      </c>
      <c r="CF13" s="36">
        <v>2.46</v>
      </c>
      <c r="CG13" s="36">
        <v>2.42</v>
      </c>
      <c r="CH13" s="36"/>
      <c r="CI13" s="36"/>
      <c r="CJ13" s="124"/>
      <c r="CK13" s="238" t="s">
        <v>127</v>
      </c>
      <c r="CL13" s="239"/>
      <c r="CM13" s="36" t="s">
        <v>126</v>
      </c>
      <c r="CN13" s="36" t="s">
        <v>199</v>
      </c>
      <c r="CO13" s="36">
        <v>0.04</v>
      </c>
      <c r="CP13" s="36">
        <v>1.4E-2</v>
      </c>
      <c r="CQ13" s="36"/>
      <c r="CR13" s="36"/>
      <c r="CS13" s="36"/>
      <c r="CT13" s="36"/>
      <c r="CU13" s="36">
        <v>5.8</v>
      </c>
      <c r="CV13" s="61">
        <v>63.6</v>
      </c>
      <c r="CW13" s="41"/>
      <c r="CX13" s="66"/>
      <c r="CY13" s="66"/>
      <c r="CZ13" s="66"/>
      <c r="DA13" s="66"/>
      <c r="DB13" s="66"/>
      <c r="DC13" s="36"/>
      <c r="DD13" s="36"/>
      <c r="DE13" s="36"/>
      <c r="DF13" s="36"/>
      <c r="DG13" s="36"/>
      <c r="DH13" s="61">
        <v>1088</v>
      </c>
      <c r="DI13" s="36">
        <v>1156</v>
      </c>
      <c r="DJ13" s="36">
        <v>3060</v>
      </c>
      <c r="DK13" s="36">
        <v>2924</v>
      </c>
      <c r="DL13" s="36" t="s">
        <v>86</v>
      </c>
      <c r="DM13" s="36"/>
      <c r="DN13" s="36"/>
      <c r="DO13" s="36"/>
      <c r="DP13" s="36"/>
      <c r="DQ13" s="36"/>
      <c r="DR13" s="36"/>
      <c r="DS13" s="36"/>
      <c r="DT13" s="36"/>
      <c r="DU13" s="36"/>
    </row>
    <row r="14" spans="1:125" s="48" customFormat="1" ht="16.5" customHeight="1" x14ac:dyDescent="0.3">
      <c r="A14" s="34">
        <v>46269</v>
      </c>
      <c r="B14" s="74" t="s">
        <v>85</v>
      </c>
      <c r="C14" s="36">
        <v>2.5299999999999998</v>
      </c>
      <c r="D14" s="36">
        <v>4</v>
      </c>
      <c r="E14" s="36">
        <v>0.85</v>
      </c>
      <c r="F14" s="36">
        <v>1.32</v>
      </c>
      <c r="G14" s="36">
        <v>2.66</v>
      </c>
      <c r="H14" s="36">
        <v>3.68</v>
      </c>
      <c r="I14" s="36">
        <v>2.68</v>
      </c>
      <c r="J14" s="36">
        <v>2.17</v>
      </c>
      <c r="K14" s="37">
        <f t="shared" si="0"/>
        <v>4.8499999999999996</v>
      </c>
      <c r="L14" s="37">
        <v>5.67</v>
      </c>
      <c r="M14" s="36">
        <v>3.49</v>
      </c>
      <c r="N14" s="36">
        <v>3.58</v>
      </c>
      <c r="O14" s="36">
        <v>2.06</v>
      </c>
      <c r="P14" s="37">
        <f t="shared" si="1"/>
        <v>5.6400000000000006</v>
      </c>
      <c r="Q14" s="36">
        <v>5.48</v>
      </c>
      <c r="R14" s="36">
        <v>3.42</v>
      </c>
      <c r="S14" s="38">
        <f t="shared" si="2"/>
        <v>2.9764705882352938</v>
      </c>
      <c r="T14" s="38">
        <f t="shared" si="3"/>
        <v>1.0467836257309941</v>
      </c>
      <c r="U14" s="38">
        <f t="shared" si="10"/>
        <v>1.6082949308755763</v>
      </c>
      <c r="V14" s="39">
        <f t="shared" si="4"/>
        <v>0.67193675889328064</v>
      </c>
      <c r="W14" s="39">
        <f t="shared" si="5"/>
        <v>1.0291970802919708</v>
      </c>
      <c r="X14" s="41">
        <v>2.72</v>
      </c>
      <c r="Y14" s="41">
        <v>2.5</v>
      </c>
      <c r="Z14" s="41">
        <v>2.8</v>
      </c>
      <c r="AA14" s="41" t="s">
        <v>100</v>
      </c>
      <c r="AB14" s="41">
        <v>2.74</v>
      </c>
      <c r="AC14" s="36">
        <v>2.68</v>
      </c>
      <c r="AD14" s="36">
        <v>2.72</v>
      </c>
      <c r="AE14" s="36">
        <v>2.76</v>
      </c>
      <c r="AF14" s="42">
        <v>2.7</v>
      </c>
      <c r="AG14" s="43">
        <f t="shared" si="6"/>
        <v>61.744966442953007</v>
      </c>
      <c r="AH14" s="41">
        <v>2.1800000000000002</v>
      </c>
      <c r="AI14" s="41">
        <v>2.12</v>
      </c>
      <c r="AJ14" s="41" t="s">
        <v>100</v>
      </c>
      <c r="AK14" s="41">
        <v>2.14</v>
      </c>
      <c r="AL14" s="41">
        <v>2.2400000000000002</v>
      </c>
      <c r="AM14" s="36" t="s">
        <v>100</v>
      </c>
      <c r="AN14" s="36">
        <v>1.98</v>
      </c>
      <c r="AO14" s="36">
        <v>2.2200000000000002</v>
      </c>
      <c r="AP14" s="42">
        <v>2.13</v>
      </c>
      <c r="AQ14" s="43">
        <f t="shared" si="9"/>
        <v>38.255033557046993</v>
      </c>
      <c r="AR14" s="44">
        <v>0.19</v>
      </c>
      <c r="AS14" s="41">
        <v>0.33</v>
      </c>
      <c r="AT14" s="41" t="s">
        <v>100</v>
      </c>
      <c r="AU14" s="41">
        <v>0.1</v>
      </c>
      <c r="AV14" s="41">
        <v>0.2</v>
      </c>
      <c r="AW14" s="41" t="s">
        <v>100</v>
      </c>
      <c r="AX14" s="41">
        <v>0.24</v>
      </c>
      <c r="AY14" s="41">
        <v>0.01</v>
      </c>
      <c r="AZ14" s="41">
        <v>79</v>
      </c>
      <c r="BA14" s="41" t="s">
        <v>86</v>
      </c>
      <c r="BB14" s="36">
        <v>710</v>
      </c>
      <c r="BC14" s="36">
        <v>95</v>
      </c>
      <c r="BD14" s="36">
        <v>97</v>
      </c>
      <c r="BE14" s="36">
        <v>0.23</v>
      </c>
      <c r="BF14" s="36">
        <v>0.11</v>
      </c>
      <c r="BG14" s="36"/>
      <c r="BH14" s="36"/>
      <c r="BI14" s="36"/>
      <c r="BJ14" s="36"/>
      <c r="BK14" s="36">
        <v>0.31</v>
      </c>
      <c r="BL14" s="45">
        <v>3.58</v>
      </c>
      <c r="BM14" s="36">
        <v>2.06</v>
      </c>
      <c r="BN14" s="36">
        <v>3.44</v>
      </c>
      <c r="BO14" s="63">
        <v>106</v>
      </c>
      <c r="BP14" s="98">
        <v>97</v>
      </c>
      <c r="BQ14" s="43">
        <f t="shared" si="7"/>
        <v>1.6699029126213591</v>
      </c>
      <c r="BR14" s="47">
        <f t="shared" si="8"/>
        <v>1.0406976744186047</v>
      </c>
      <c r="BS14" s="45">
        <v>1.81</v>
      </c>
      <c r="BT14" s="41">
        <v>4.1100000000000003</v>
      </c>
      <c r="BU14" s="41">
        <v>1.3</v>
      </c>
      <c r="BV14" s="41">
        <v>23.8</v>
      </c>
      <c r="BW14" s="41">
        <v>23.3</v>
      </c>
      <c r="BX14" s="41"/>
      <c r="BY14" s="41"/>
      <c r="BZ14" s="41"/>
      <c r="CA14" s="41"/>
      <c r="CB14" s="127"/>
      <c r="CC14" s="41"/>
      <c r="CD14" s="36"/>
      <c r="CE14" s="36">
        <v>2.34</v>
      </c>
      <c r="CF14" s="36">
        <v>2.44</v>
      </c>
      <c r="CG14" s="36">
        <v>2.34</v>
      </c>
      <c r="CH14" s="36" t="s">
        <v>100</v>
      </c>
      <c r="CI14" s="36" t="s">
        <v>100</v>
      </c>
      <c r="CJ14" s="126" t="s">
        <v>100</v>
      </c>
      <c r="CK14" s="238" t="s">
        <v>534</v>
      </c>
      <c r="CL14" s="239"/>
      <c r="CM14" s="36" t="s">
        <v>179</v>
      </c>
      <c r="CN14" s="36" t="s">
        <v>535</v>
      </c>
      <c r="CO14" s="36">
        <v>3.7999999999999999E-2</v>
      </c>
      <c r="CP14" s="36">
        <v>1.0999999999999999E-2</v>
      </c>
      <c r="CQ14" s="36">
        <v>2.2000000000000002</v>
      </c>
      <c r="CR14" s="36">
        <v>29.4</v>
      </c>
      <c r="CS14" s="36">
        <v>6.3</v>
      </c>
      <c r="CT14" s="36">
        <v>160</v>
      </c>
      <c r="CU14" s="36">
        <v>4.4000000000000004</v>
      </c>
      <c r="CV14" s="61">
        <v>100.7</v>
      </c>
      <c r="CW14" s="41">
        <v>1116</v>
      </c>
      <c r="CX14" s="66">
        <v>1.38</v>
      </c>
      <c r="CY14" s="66" t="s">
        <v>86</v>
      </c>
      <c r="CZ14" s="66">
        <v>0.44</v>
      </c>
      <c r="DA14" s="66">
        <v>0.8</v>
      </c>
      <c r="DB14" s="66">
        <v>0.36</v>
      </c>
      <c r="DC14" s="36">
        <v>0.74</v>
      </c>
      <c r="DD14" s="36">
        <v>24.4</v>
      </c>
      <c r="DE14" s="36" t="s">
        <v>100</v>
      </c>
      <c r="DF14" s="36">
        <v>0.01</v>
      </c>
      <c r="DG14" s="36">
        <v>0.01</v>
      </c>
      <c r="DH14" s="61">
        <v>272</v>
      </c>
      <c r="DI14" s="36">
        <v>2244</v>
      </c>
      <c r="DJ14" s="36">
        <v>9520</v>
      </c>
      <c r="DK14" s="36">
        <v>3740</v>
      </c>
      <c r="DL14" s="36" t="s">
        <v>86</v>
      </c>
      <c r="DM14" s="36"/>
      <c r="DN14" s="36"/>
      <c r="DO14" s="36"/>
      <c r="DP14" s="36"/>
      <c r="DQ14" s="36"/>
      <c r="DR14" s="36"/>
      <c r="DS14" s="36"/>
      <c r="DT14" s="36"/>
      <c r="DU14" s="36"/>
    </row>
    <row r="15" spans="1:125" s="48" customFormat="1" ht="16.5" customHeight="1" x14ac:dyDescent="0.3">
      <c r="A15" s="34"/>
      <c r="B15" s="74" t="s">
        <v>102</v>
      </c>
      <c r="C15" s="36">
        <v>2.59</v>
      </c>
      <c r="D15" s="36">
        <v>4</v>
      </c>
      <c r="E15" s="36">
        <v>0.82</v>
      </c>
      <c r="F15" s="36">
        <v>1.3</v>
      </c>
      <c r="G15" s="36">
        <v>2.64</v>
      </c>
      <c r="H15" s="36">
        <v>3.8</v>
      </c>
      <c r="I15" s="36">
        <v>2.62</v>
      </c>
      <c r="J15" s="36">
        <v>2.16</v>
      </c>
      <c r="K15" s="37">
        <f t="shared" si="0"/>
        <v>4.78</v>
      </c>
      <c r="L15" s="37">
        <v>5.66</v>
      </c>
      <c r="M15" s="36">
        <v>3.5</v>
      </c>
      <c r="N15" s="36">
        <v>3.6</v>
      </c>
      <c r="O15" s="36">
        <v>2.08</v>
      </c>
      <c r="P15" s="37">
        <f t="shared" si="1"/>
        <v>5.68</v>
      </c>
      <c r="Q15" s="36">
        <v>5.51</v>
      </c>
      <c r="R15" s="36">
        <v>3.43</v>
      </c>
      <c r="S15" s="38">
        <f t="shared" si="2"/>
        <v>3.1585365853658538</v>
      </c>
      <c r="T15" s="38">
        <f t="shared" si="3"/>
        <v>1.0495626822157433</v>
      </c>
      <c r="U15" s="38">
        <f t="shared" si="10"/>
        <v>1.6203703703703702</v>
      </c>
      <c r="V15" s="39">
        <f t="shared" si="4"/>
        <v>0.63320463320463316</v>
      </c>
      <c r="W15" s="39">
        <f t="shared" si="5"/>
        <v>1.030852994555354</v>
      </c>
      <c r="X15" s="41">
        <v>2.7</v>
      </c>
      <c r="Y15" s="41">
        <v>2.5</v>
      </c>
      <c r="Z15" s="41">
        <v>2.8</v>
      </c>
      <c r="AA15" s="41">
        <v>2.8</v>
      </c>
      <c r="AB15" s="41">
        <v>3.1</v>
      </c>
      <c r="AC15" s="36">
        <v>2.7</v>
      </c>
      <c r="AD15" s="36" t="s">
        <v>100</v>
      </c>
      <c r="AE15" s="36">
        <v>2.64</v>
      </c>
      <c r="AF15" s="42">
        <v>2.79</v>
      </c>
      <c r="AG15" s="43">
        <f t="shared" si="6"/>
        <v>58.552631578947377</v>
      </c>
      <c r="AH15" s="41">
        <v>2.1</v>
      </c>
      <c r="AI15" s="41">
        <v>2.16</v>
      </c>
      <c r="AJ15" s="41" t="s">
        <v>100</v>
      </c>
      <c r="AK15" s="41">
        <v>2.16</v>
      </c>
      <c r="AL15" s="41">
        <v>2.2400000000000002</v>
      </c>
      <c r="AM15" s="36" t="s">
        <v>100</v>
      </c>
      <c r="AN15" s="36">
        <v>2.2000000000000002</v>
      </c>
      <c r="AO15" s="36">
        <v>2.12</v>
      </c>
      <c r="AP15" s="42">
        <v>2.16</v>
      </c>
      <c r="AQ15" s="43">
        <f t="shared" si="9"/>
        <v>41.447368421052623</v>
      </c>
      <c r="AR15" s="44">
        <v>0.26</v>
      </c>
      <c r="AS15" s="41">
        <v>0.38</v>
      </c>
      <c r="AT15" s="41" t="s">
        <v>100</v>
      </c>
      <c r="AU15" s="41">
        <v>0.23</v>
      </c>
      <c r="AV15" s="41">
        <v>0.38</v>
      </c>
      <c r="AW15" s="41" t="s">
        <v>100</v>
      </c>
      <c r="AX15" s="41">
        <v>0.28999999999999998</v>
      </c>
      <c r="AY15" s="41">
        <v>0.02</v>
      </c>
      <c r="AZ15" s="41">
        <v>72.099999999999994</v>
      </c>
      <c r="BA15" s="41" t="s">
        <v>86</v>
      </c>
      <c r="BB15" s="36">
        <v>680</v>
      </c>
      <c r="BC15" s="36">
        <v>79</v>
      </c>
      <c r="BD15" s="36">
        <v>90</v>
      </c>
      <c r="BE15" s="36">
        <v>0.2</v>
      </c>
      <c r="BF15" s="36">
        <v>0.15</v>
      </c>
      <c r="BG15" s="36"/>
      <c r="BH15" s="36"/>
      <c r="BI15" s="36"/>
      <c r="BJ15" s="36"/>
      <c r="BK15" s="36">
        <v>0.3</v>
      </c>
      <c r="BL15" s="45">
        <v>3.5</v>
      </c>
      <c r="BM15" s="36">
        <v>2.04</v>
      </c>
      <c r="BN15" s="36">
        <v>3.46</v>
      </c>
      <c r="BO15" s="63">
        <v>56</v>
      </c>
      <c r="BP15" s="98">
        <v>74</v>
      </c>
      <c r="BQ15" s="43">
        <f t="shared" si="7"/>
        <v>1.696078431372549</v>
      </c>
      <c r="BR15" s="47">
        <f t="shared" si="8"/>
        <v>1.0115606936416186</v>
      </c>
      <c r="BS15" s="45">
        <v>1.72</v>
      </c>
      <c r="BT15" s="41">
        <v>4.05</v>
      </c>
      <c r="BU15" s="41"/>
      <c r="BV15" s="41">
        <v>23.1</v>
      </c>
      <c r="BW15" s="41">
        <v>19.8</v>
      </c>
      <c r="BX15" s="41"/>
      <c r="BY15" s="41"/>
      <c r="BZ15" s="41"/>
      <c r="CA15" s="41"/>
      <c r="CB15" s="129"/>
      <c r="CC15" s="41">
        <v>0.32</v>
      </c>
      <c r="CD15" s="36">
        <v>-0.26</v>
      </c>
      <c r="CE15" s="36">
        <v>2.54</v>
      </c>
      <c r="CF15" s="36" t="s">
        <v>100</v>
      </c>
      <c r="CG15" s="36">
        <v>2.48</v>
      </c>
      <c r="CH15" s="36">
        <v>2.5</v>
      </c>
      <c r="CI15" s="36" t="s">
        <v>100</v>
      </c>
      <c r="CJ15" s="128" t="s">
        <v>100</v>
      </c>
      <c r="CK15" s="238" t="s">
        <v>536</v>
      </c>
      <c r="CL15" s="239"/>
      <c r="CM15" s="36" t="s">
        <v>111</v>
      </c>
      <c r="CN15" s="36" t="s">
        <v>109</v>
      </c>
      <c r="CO15" s="36">
        <v>3.7999999999999999E-2</v>
      </c>
      <c r="CP15" s="36">
        <v>1.0999999999999999E-2</v>
      </c>
      <c r="CQ15" s="36"/>
      <c r="CR15" s="36"/>
      <c r="CS15" s="36"/>
      <c r="CT15" s="36"/>
      <c r="CU15" s="36">
        <v>5.0999999999999996</v>
      </c>
      <c r="CV15" s="61">
        <v>64</v>
      </c>
      <c r="CW15" s="41"/>
      <c r="CX15" s="66"/>
      <c r="CY15" s="66"/>
      <c r="CZ15" s="66"/>
      <c r="DA15" s="66"/>
      <c r="DB15" s="66"/>
      <c r="DC15" s="36"/>
      <c r="DD15" s="36"/>
      <c r="DE15" s="36"/>
      <c r="DF15" s="36"/>
      <c r="DG15" s="36"/>
      <c r="DH15" s="61">
        <v>340</v>
      </c>
      <c r="DI15" s="36">
        <v>1122</v>
      </c>
      <c r="DJ15" s="36">
        <v>3672</v>
      </c>
      <c r="DK15" s="36">
        <v>4556</v>
      </c>
      <c r="DL15" s="36" t="s">
        <v>86</v>
      </c>
      <c r="DM15" s="36"/>
      <c r="DN15" s="36">
        <v>1.7</v>
      </c>
      <c r="DO15" s="36">
        <v>25.3</v>
      </c>
      <c r="DP15" s="36">
        <v>20.8</v>
      </c>
      <c r="DQ15" s="36">
        <v>35</v>
      </c>
      <c r="DR15" s="36">
        <v>17</v>
      </c>
      <c r="DS15" s="36">
        <v>229</v>
      </c>
      <c r="DT15" s="36"/>
      <c r="DU15" s="36"/>
    </row>
    <row r="16" spans="1:125" s="48" customFormat="1" ht="16.5" customHeight="1" x14ac:dyDescent="0.3">
      <c r="A16" s="34"/>
      <c r="B16" s="74" t="s">
        <v>103</v>
      </c>
      <c r="C16" s="36">
        <v>2.4</v>
      </c>
      <c r="D16" s="36">
        <v>4.08</v>
      </c>
      <c r="E16" s="36">
        <v>0.86</v>
      </c>
      <c r="F16" s="36">
        <v>1.28</v>
      </c>
      <c r="G16" s="36">
        <v>2.64</v>
      </c>
      <c r="H16" s="36">
        <v>3.8</v>
      </c>
      <c r="I16" s="36">
        <v>2.63</v>
      </c>
      <c r="J16" s="36">
        <v>2.19</v>
      </c>
      <c r="K16" s="37">
        <f t="shared" si="0"/>
        <v>4.82</v>
      </c>
      <c r="L16" s="37">
        <v>5.68</v>
      </c>
      <c r="M16" s="36">
        <v>3.49</v>
      </c>
      <c r="N16" s="36">
        <v>3.53</v>
      </c>
      <c r="O16" s="36">
        <v>2.12</v>
      </c>
      <c r="P16" s="37">
        <f t="shared" si="1"/>
        <v>5.65</v>
      </c>
      <c r="Q16" s="36">
        <v>5.53</v>
      </c>
      <c r="R16" s="36">
        <v>3.43</v>
      </c>
      <c r="S16" s="38">
        <f t="shared" si="2"/>
        <v>2.7906976744186047</v>
      </c>
      <c r="T16" s="38">
        <f t="shared" si="3"/>
        <v>1.0291545189504372</v>
      </c>
      <c r="U16" s="38">
        <f t="shared" si="10"/>
        <v>1.5936073059360731</v>
      </c>
      <c r="V16" s="39">
        <f t="shared" si="4"/>
        <v>0.71666666666666667</v>
      </c>
      <c r="W16" s="39">
        <f t="shared" si="5"/>
        <v>1.0216998191681737</v>
      </c>
      <c r="X16" s="41"/>
      <c r="Y16" s="41"/>
      <c r="Z16" s="41"/>
      <c r="AA16" s="41"/>
      <c r="AB16" s="41"/>
      <c r="AC16" s="36"/>
      <c r="AD16" s="36"/>
      <c r="AE16" s="36"/>
      <c r="AF16" s="42"/>
      <c r="AG16" s="43">
        <f t="shared" si="6"/>
        <v>0</v>
      </c>
      <c r="AH16" s="41"/>
      <c r="AI16" s="41"/>
      <c r="AJ16" s="41"/>
      <c r="AK16" s="41"/>
      <c r="AL16" s="41"/>
      <c r="AM16" s="36"/>
      <c r="AN16" s="36"/>
      <c r="AO16" s="36"/>
      <c r="AP16" s="42"/>
      <c r="AQ16" s="43"/>
      <c r="AR16" s="44"/>
      <c r="AS16" s="41"/>
      <c r="AT16" s="41"/>
      <c r="AU16" s="41"/>
      <c r="AV16" s="41"/>
      <c r="AW16" s="41"/>
      <c r="AX16" s="41"/>
      <c r="AY16" s="41"/>
      <c r="AZ16" s="41">
        <v>78.900000000000006</v>
      </c>
      <c r="BA16" s="41" t="s">
        <v>86</v>
      </c>
      <c r="BB16" s="36">
        <v>886</v>
      </c>
      <c r="BC16" s="36">
        <v>48</v>
      </c>
      <c r="BD16" s="36">
        <v>96</v>
      </c>
      <c r="BE16" s="36">
        <v>0.21</v>
      </c>
      <c r="BF16" s="36">
        <v>0.14000000000000001</v>
      </c>
      <c r="BG16" s="36"/>
      <c r="BH16" s="36"/>
      <c r="BI16" s="36"/>
      <c r="BJ16" s="36"/>
      <c r="BK16" s="36">
        <v>0.3</v>
      </c>
      <c r="BL16" s="45">
        <v>3.74</v>
      </c>
      <c r="BM16" s="36">
        <v>2</v>
      </c>
      <c r="BN16" s="36">
        <v>3.48</v>
      </c>
      <c r="BO16" s="63">
        <v>68</v>
      </c>
      <c r="BP16" s="98">
        <v>53</v>
      </c>
      <c r="BQ16" s="43">
        <f t="shared" si="7"/>
        <v>1.74</v>
      </c>
      <c r="BR16" s="47">
        <f t="shared" si="8"/>
        <v>1.0747126436781609</v>
      </c>
      <c r="BS16" s="45">
        <v>1.58</v>
      </c>
      <c r="BT16" s="41">
        <v>4.1500000000000004</v>
      </c>
      <c r="BU16" s="41">
        <v>1.32</v>
      </c>
      <c r="BV16" s="41">
        <v>21.9</v>
      </c>
      <c r="BW16" s="41">
        <v>23.2</v>
      </c>
      <c r="BX16" s="41"/>
      <c r="BY16" s="41"/>
      <c r="BZ16" s="41"/>
      <c r="CA16" s="41"/>
      <c r="CB16" s="131"/>
      <c r="CC16" s="41">
        <v>0.19</v>
      </c>
      <c r="CD16" s="36">
        <v>0.04</v>
      </c>
      <c r="CE16" s="36">
        <v>2.54</v>
      </c>
      <c r="CF16" s="36" t="s">
        <v>104</v>
      </c>
      <c r="CG16" s="36">
        <v>2.52</v>
      </c>
      <c r="CH16" s="36">
        <v>2.5</v>
      </c>
      <c r="CI16" s="36" t="s">
        <v>104</v>
      </c>
      <c r="CJ16" s="130" t="s">
        <v>104</v>
      </c>
      <c r="CK16" s="238" t="s">
        <v>537</v>
      </c>
      <c r="CL16" s="239"/>
      <c r="CM16" s="36" t="s">
        <v>186</v>
      </c>
      <c r="CN16" s="36" t="s">
        <v>538</v>
      </c>
      <c r="CO16" s="36">
        <v>3.9E-2</v>
      </c>
      <c r="CP16" s="36">
        <v>0.01</v>
      </c>
      <c r="CQ16" s="36"/>
      <c r="CR16" s="36"/>
      <c r="CS16" s="36"/>
      <c r="CT16" s="36"/>
      <c r="CU16" s="36">
        <v>3.4</v>
      </c>
      <c r="CV16" s="61">
        <v>71.5</v>
      </c>
      <c r="CW16" s="41"/>
      <c r="CX16" s="66"/>
      <c r="CY16" s="66"/>
      <c r="CZ16" s="66"/>
      <c r="DA16" s="66"/>
      <c r="DB16" s="66"/>
      <c r="DC16" s="36"/>
      <c r="DD16" s="36"/>
      <c r="DE16" s="36"/>
      <c r="DF16" s="36"/>
      <c r="DG16" s="36"/>
      <c r="DH16" s="61">
        <v>986</v>
      </c>
      <c r="DI16" s="36">
        <v>1020</v>
      </c>
      <c r="DJ16" s="36">
        <v>2108</v>
      </c>
      <c r="DK16" s="36">
        <v>3196</v>
      </c>
      <c r="DL16" s="36" t="s">
        <v>86</v>
      </c>
      <c r="DM16" s="36"/>
      <c r="DN16" s="36"/>
      <c r="DO16" s="36"/>
      <c r="DP16" s="36"/>
      <c r="DQ16" s="36"/>
      <c r="DR16" s="36"/>
      <c r="DS16" s="36"/>
      <c r="DT16" s="36"/>
      <c r="DU16" s="36"/>
    </row>
    <row r="17" spans="1:125" s="48" customFormat="1" ht="16.5" customHeight="1" x14ac:dyDescent="0.3">
      <c r="A17" s="34">
        <v>46270</v>
      </c>
      <c r="B17" s="74" t="s">
        <v>85</v>
      </c>
      <c r="C17" s="36">
        <v>2.5</v>
      </c>
      <c r="D17" s="36">
        <v>4.08</v>
      </c>
      <c r="E17" s="36">
        <v>0.75</v>
      </c>
      <c r="F17" s="36">
        <v>1.23</v>
      </c>
      <c r="G17" s="36">
        <v>2.6</v>
      </c>
      <c r="H17" s="36">
        <v>3.76</v>
      </c>
      <c r="I17" s="36">
        <v>2.61</v>
      </c>
      <c r="J17" s="36">
        <v>2.21</v>
      </c>
      <c r="K17" s="37">
        <f t="shared" si="0"/>
        <v>4.82</v>
      </c>
      <c r="L17" s="37">
        <v>5.73</v>
      </c>
      <c r="M17" s="36">
        <v>3.52</v>
      </c>
      <c r="N17" s="36">
        <v>3.39</v>
      </c>
      <c r="O17" s="36">
        <v>2.15</v>
      </c>
      <c r="P17" s="37">
        <f t="shared" si="1"/>
        <v>5.54</v>
      </c>
      <c r="Q17" s="36">
        <v>5.56</v>
      </c>
      <c r="R17" s="36">
        <v>3.41</v>
      </c>
      <c r="S17" s="38">
        <f t="shared" si="2"/>
        <v>3.3333333333333335</v>
      </c>
      <c r="T17" s="38">
        <f t="shared" si="3"/>
        <v>0.99413489736070382</v>
      </c>
      <c r="U17" s="38">
        <f t="shared" si="10"/>
        <v>1.5927601809954752</v>
      </c>
      <c r="V17" s="39">
        <f t="shared" si="4"/>
        <v>0.6</v>
      </c>
      <c r="W17" s="39">
        <f t="shared" si="5"/>
        <v>0.99640287769784175</v>
      </c>
      <c r="X17" s="41" t="s">
        <v>100</v>
      </c>
      <c r="Y17" s="41">
        <v>2.5</v>
      </c>
      <c r="Z17" s="41">
        <v>2.72</v>
      </c>
      <c r="AA17" s="41">
        <v>2.82</v>
      </c>
      <c r="AB17" s="41">
        <v>2.78</v>
      </c>
      <c r="AC17" s="36">
        <v>2.76</v>
      </c>
      <c r="AD17" s="36">
        <v>2.76</v>
      </c>
      <c r="AE17" s="36">
        <v>2.72</v>
      </c>
      <c r="AF17" s="42">
        <v>2.72</v>
      </c>
      <c r="AG17" s="43">
        <f t="shared" si="6"/>
        <v>67.080745341614886</v>
      </c>
      <c r="AH17" s="41">
        <v>2.14</v>
      </c>
      <c r="AI17" s="41">
        <v>2.1800000000000002</v>
      </c>
      <c r="AJ17" s="41" t="s">
        <v>100</v>
      </c>
      <c r="AK17" s="41">
        <v>2.16</v>
      </c>
      <c r="AL17" s="41">
        <v>2.2200000000000002</v>
      </c>
      <c r="AM17" s="36" t="s">
        <v>100</v>
      </c>
      <c r="AN17" s="36">
        <v>2.2000000000000002</v>
      </c>
      <c r="AO17" s="36">
        <v>2.2200000000000002</v>
      </c>
      <c r="AP17" s="42">
        <v>2.19</v>
      </c>
      <c r="AQ17" s="43">
        <f t="shared" si="9"/>
        <v>32.919254658385114</v>
      </c>
      <c r="AR17" s="44">
        <v>0.16</v>
      </c>
      <c r="AS17" s="41">
        <v>0.32</v>
      </c>
      <c r="AT17" s="41" t="s">
        <v>100</v>
      </c>
      <c r="AU17" s="41">
        <v>0.19</v>
      </c>
      <c r="AV17" s="41">
        <v>0.19</v>
      </c>
      <c r="AW17" s="41" t="s">
        <v>100</v>
      </c>
      <c r="AX17" s="41">
        <v>0.37</v>
      </c>
      <c r="AY17" s="41">
        <v>0.22</v>
      </c>
      <c r="AZ17" s="41">
        <v>72.599999999999994</v>
      </c>
      <c r="BA17" s="41" t="s">
        <v>86</v>
      </c>
      <c r="BB17" s="36">
        <v>640</v>
      </c>
      <c r="BC17" s="36">
        <v>71</v>
      </c>
      <c r="BD17" s="36">
        <v>67</v>
      </c>
      <c r="BE17" s="36">
        <v>0.23</v>
      </c>
      <c r="BF17" s="36">
        <v>0.1</v>
      </c>
      <c r="BG17" s="36"/>
      <c r="BH17" s="36"/>
      <c r="BI17" s="36"/>
      <c r="BJ17" s="36"/>
      <c r="BK17" s="36">
        <v>0.28000000000000003</v>
      </c>
      <c r="BL17" s="45">
        <v>3.54</v>
      </c>
      <c r="BM17" s="36">
        <v>2.06</v>
      </c>
      <c r="BN17" s="36">
        <v>3.44</v>
      </c>
      <c r="BO17" s="63">
        <v>121</v>
      </c>
      <c r="BP17" s="98">
        <v>77</v>
      </c>
      <c r="BQ17" s="43">
        <f t="shared" si="7"/>
        <v>1.6699029126213591</v>
      </c>
      <c r="BR17" s="47">
        <f t="shared" si="8"/>
        <v>1.0290697674418605</v>
      </c>
      <c r="BS17" s="45">
        <v>1.46</v>
      </c>
      <c r="BT17" s="41">
        <v>4.12</v>
      </c>
      <c r="BU17" s="41">
        <v>1.28</v>
      </c>
      <c r="BV17" s="41"/>
      <c r="BW17" s="41"/>
      <c r="BX17" s="41">
        <v>22.5</v>
      </c>
      <c r="BY17" s="41">
        <v>24.7</v>
      </c>
      <c r="BZ17" s="41"/>
      <c r="CA17" s="41"/>
      <c r="CB17" s="41"/>
      <c r="CC17" s="41" t="s">
        <v>100</v>
      </c>
      <c r="CD17" s="36">
        <v>-0.1</v>
      </c>
      <c r="CE17" s="36">
        <v>2.46</v>
      </c>
      <c r="CF17" s="36" t="s">
        <v>100</v>
      </c>
      <c r="CG17" s="36">
        <v>2.44</v>
      </c>
      <c r="CH17" s="36">
        <v>2.36</v>
      </c>
      <c r="CI17" s="36" t="s">
        <v>100</v>
      </c>
      <c r="CJ17" s="132" t="s">
        <v>100</v>
      </c>
      <c r="CK17" s="238" t="s">
        <v>540</v>
      </c>
      <c r="CL17" s="239"/>
      <c r="CM17" s="36" t="s">
        <v>541</v>
      </c>
      <c r="CN17" s="36" t="s">
        <v>157</v>
      </c>
      <c r="CO17" s="36">
        <v>4.1000000000000002E-2</v>
      </c>
      <c r="CP17" s="36">
        <v>1.2E-2</v>
      </c>
      <c r="CQ17" s="36">
        <v>2.2000000000000002</v>
      </c>
      <c r="CR17" s="36">
        <v>29</v>
      </c>
      <c r="CS17" s="36">
        <v>6.4</v>
      </c>
      <c r="CT17" s="36">
        <v>160</v>
      </c>
      <c r="CU17" s="36">
        <v>5.6</v>
      </c>
      <c r="CV17" s="61">
        <v>87.4</v>
      </c>
      <c r="CW17" s="41">
        <v>1950</v>
      </c>
      <c r="CX17" s="66">
        <v>0.68</v>
      </c>
      <c r="CY17" s="66" t="s">
        <v>86</v>
      </c>
      <c r="CZ17" s="66">
        <v>0.36</v>
      </c>
      <c r="DA17" s="66">
        <v>0.9</v>
      </c>
      <c r="DB17" s="66">
        <v>0.54</v>
      </c>
      <c r="DC17" s="36">
        <v>0.32</v>
      </c>
      <c r="DD17" s="36">
        <v>17</v>
      </c>
      <c r="DE17" s="36" t="s">
        <v>100</v>
      </c>
      <c r="DF17" s="36">
        <v>0.01</v>
      </c>
      <c r="DG17" s="36">
        <v>0.01</v>
      </c>
      <c r="DH17" s="61">
        <v>408</v>
      </c>
      <c r="DI17" s="36">
        <v>476</v>
      </c>
      <c r="DJ17" s="36">
        <v>3264</v>
      </c>
      <c r="DK17" s="36">
        <v>2924</v>
      </c>
      <c r="DL17" s="36" t="s">
        <v>86</v>
      </c>
      <c r="DM17" s="36"/>
      <c r="DN17" s="36"/>
      <c r="DO17" s="36"/>
      <c r="DP17" s="36"/>
      <c r="DQ17" s="36"/>
      <c r="DR17" s="36"/>
      <c r="DS17" s="36"/>
      <c r="DT17" s="36"/>
      <c r="DU17" s="36"/>
    </row>
    <row r="18" spans="1:125" s="48" customFormat="1" ht="16.5" customHeight="1" x14ac:dyDescent="0.3">
      <c r="A18" s="34"/>
      <c r="B18" s="74" t="s">
        <v>102</v>
      </c>
      <c r="C18" s="36">
        <v>2.48</v>
      </c>
      <c r="D18" s="36">
        <v>3.94</v>
      </c>
      <c r="E18" s="36">
        <v>0.82</v>
      </c>
      <c r="F18" s="36">
        <v>1.34</v>
      </c>
      <c r="G18" s="36">
        <v>2.48</v>
      </c>
      <c r="H18" s="36">
        <v>3.68</v>
      </c>
      <c r="I18" s="36">
        <v>2.44</v>
      </c>
      <c r="J18" s="36">
        <v>2.23</v>
      </c>
      <c r="K18" s="37">
        <f t="shared" si="0"/>
        <v>4.67</v>
      </c>
      <c r="L18" s="37">
        <v>5.71</v>
      </c>
      <c r="M18" s="36">
        <v>3.48</v>
      </c>
      <c r="N18" s="36">
        <v>3.72</v>
      </c>
      <c r="O18" s="36">
        <v>2.12</v>
      </c>
      <c r="P18" s="37">
        <f t="shared" si="1"/>
        <v>5.84</v>
      </c>
      <c r="Q18" s="36">
        <v>5.49</v>
      </c>
      <c r="R18" s="36">
        <v>3.37</v>
      </c>
      <c r="S18" s="38">
        <f t="shared" si="2"/>
        <v>3.024390243902439</v>
      </c>
      <c r="T18" s="38">
        <f t="shared" si="3"/>
        <v>1.1038575667655786</v>
      </c>
      <c r="U18" s="38">
        <f t="shared" si="10"/>
        <v>1.5605381165919283</v>
      </c>
      <c r="V18" s="39">
        <f t="shared" si="4"/>
        <v>0.66129032258064513</v>
      </c>
      <c r="W18" s="39">
        <f t="shared" si="5"/>
        <v>1.0637522768670309</v>
      </c>
      <c r="X18" s="41">
        <v>2.4</v>
      </c>
      <c r="Y18" s="41">
        <v>2.66</v>
      </c>
      <c r="Z18" s="41">
        <v>2.5</v>
      </c>
      <c r="AA18" s="41">
        <v>2.8</v>
      </c>
      <c r="AB18" s="41">
        <v>2.94</v>
      </c>
      <c r="AC18" s="36">
        <v>2.74</v>
      </c>
      <c r="AD18" s="36">
        <v>2.76</v>
      </c>
      <c r="AE18" s="36">
        <v>2.8</v>
      </c>
      <c r="AF18" s="42">
        <v>2.72</v>
      </c>
      <c r="AG18" s="43">
        <f t="shared" si="6"/>
        <v>67.09677419354837</v>
      </c>
      <c r="AH18" s="41">
        <v>2.2000000000000002</v>
      </c>
      <c r="AI18" s="41">
        <v>2.2200000000000002</v>
      </c>
      <c r="AJ18" s="41" t="s">
        <v>100</v>
      </c>
      <c r="AK18" s="41">
        <v>2.08</v>
      </c>
      <c r="AL18" s="41">
        <v>2.2999999999999998</v>
      </c>
      <c r="AM18" s="36" t="s">
        <v>100</v>
      </c>
      <c r="AN18" s="36">
        <v>2.2200000000000002</v>
      </c>
      <c r="AO18" s="36">
        <v>2.1</v>
      </c>
      <c r="AP18" s="42">
        <v>2.21</v>
      </c>
      <c r="AQ18" s="43">
        <f t="shared" si="9"/>
        <v>32.90322580645163</v>
      </c>
      <c r="AR18" s="44">
        <v>0.28999999999999998</v>
      </c>
      <c r="AS18" s="41" t="s">
        <v>100</v>
      </c>
      <c r="AT18" s="41" t="s">
        <v>100</v>
      </c>
      <c r="AU18" s="41">
        <v>0.04</v>
      </c>
      <c r="AV18" s="41">
        <v>0.14000000000000001</v>
      </c>
      <c r="AW18" s="41" t="s">
        <v>100</v>
      </c>
      <c r="AX18" s="41">
        <v>0.19</v>
      </c>
      <c r="AY18" s="41">
        <v>0.04</v>
      </c>
      <c r="AZ18" s="41">
        <v>70.099999999999994</v>
      </c>
      <c r="BA18" s="41" t="s">
        <v>86</v>
      </c>
      <c r="BB18" s="36">
        <v>680</v>
      </c>
      <c r="BC18" s="36">
        <v>71</v>
      </c>
      <c r="BD18" s="36">
        <v>82</v>
      </c>
      <c r="BE18" s="36">
        <v>0.19</v>
      </c>
      <c r="BF18" s="36">
        <v>0.1</v>
      </c>
      <c r="BG18" s="36"/>
      <c r="BH18" s="36"/>
      <c r="BI18" s="36"/>
      <c r="BJ18" s="36"/>
      <c r="BK18" s="36">
        <v>0.3</v>
      </c>
      <c r="BL18" s="45">
        <v>3.48</v>
      </c>
      <c r="BM18" s="36">
        <v>2.02</v>
      </c>
      <c r="BN18" s="36">
        <v>3.46</v>
      </c>
      <c r="BO18" s="63">
        <v>136</v>
      </c>
      <c r="BP18" s="98">
        <v>92</v>
      </c>
      <c r="BQ18" s="43">
        <f t="shared" si="7"/>
        <v>1.7128712871287128</v>
      </c>
      <c r="BR18" s="47">
        <f t="shared" si="8"/>
        <v>1.0057803468208093</v>
      </c>
      <c r="BS18" s="45">
        <v>1.41</v>
      </c>
      <c r="BT18" s="41">
        <v>4.01</v>
      </c>
      <c r="BU18" s="41">
        <v>1.28</v>
      </c>
      <c r="BV18" s="41"/>
      <c r="BW18" s="41"/>
      <c r="BX18" s="41">
        <v>22.3</v>
      </c>
      <c r="BY18" s="41">
        <v>22.8</v>
      </c>
      <c r="BZ18" s="41"/>
      <c r="CA18" s="41"/>
      <c r="CB18" s="41"/>
      <c r="CC18" s="41">
        <v>0.32</v>
      </c>
      <c r="CD18" s="36">
        <v>0.2</v>
      </c>
      <c r="CE18" s="36" t="s">
        <v>100</v>
      </c>
      <c r="CF18" s="36" t="s">
        <v>100</v>
      </c>
      <c r="CG18" s="36">
        <v>2.38</v>
      </c>
      <c r="CH18" s="36">
        <v>2.48</v>
      </c>
      <c r="CI18" s="36" t="s">
        <v>100</v>
      </c>
      <c r="CJ18" s="133">
        <v>2.48</v>
      </c>
      <c r="CK18" s="238" t="s">
        <v>542</v>
      </c>
      <c r="CL18" s="239"/>
      <c r="CM18" s="36" t="s">
        <v>543</v>
      </c>
      <c r="CN18" s="36" t="s">
        <v>544</v>
      </c>
      <c r="CO18" s="36">
        <v>0.04</v>
      </c>
      <c r="CP18" s="36">
        <v>1.2E-2</v>
      </c>
      <c r="CQ18" s="36"/>
      <c r="CR18" s="36"/>
      <c r="CS18" s="36"/>
      <c r="CT18" s="36"/>
      <c r="CU18" s="36">
        <v>4.2</v>
      </c>
      <c r="CV18" s="61">
        <v>92.2</v>
      </c>
      <c r="CW18" s="41"/>
      <c r="CX18" s="66"/>
      <c r="CY18" s="66"/>
      <c r="CZ18" s="66"/>
      <c r="DA18" s="66"/>
      <c r="DB18" s="66"/>
      <c r="DC18" s="36"/>
      <c r="DD18" s="36"/>
      <c r="DE18" s="36"/>
      <c r="DF18" s="36"/>
      <c r="DG18" s="36"/>
      <c r="DH18" s="61">
        <v>340</v>
      </c>
      <c r="DI18" s="36">
        <v>680</v>
      </c>
      <c r="DJ18" s="36">
        <v>2516</v>
      </c>
      <c r="DK18" s="36">
        <v>2788</v>
      </c>
      <c r="DL18" s="36" t="s">
        <v>86</v>
      </c>
      <c r="DM18" s="36"/>
      <c r="DN18" s="36">
        <v>1.6</v>
      </c>
      <c r="DO18" s="36">
        <v>23.2</v>
      </c>
      <c r="DP18" s="36">
        <v>12.7</v>
      </c>
      <c r="DQ18" s="36">
        <v>36</v>
      </c>
      <c r="DR18" s="36">
        <v>26.5</v>
      </c>
      <c r="DS18" s="36">
        <v>202</v>
      </c>
      <c r="DT18" s="36"/>
      <c r="DU18" s="36"/>
    </row>
    <row r="19" spans="1:125" s="48" customFormat="1" ht="16.5" customHeight="1" x14ac:dyDescent="0.3">
      <c r="A19" s="34"/>
      <c r="B19" s="74" t="s">
        <v>103</v>
      </c>
      <c r="C19" s="36">
        <v>2.83</v>
      </c>
      <c r="D19" s="36">
        <v>3.85</v>
      </c>
      <c r="E19" s="36">
        <v>0.82</v>
      </c>
      <c r="F19" s="36">
        <v>1.29</v>
      </c>
      <c r="G19" s="36">
        <v>2.48</v>
      </c>
      <c r="H19" s="36">
        <v>3.68</v>
      </c>
      <c r="I19" s="36">
        <v>2.56</v>
      </c>
      <c r="J19" s="36">
        <v>2.27</v>
      </c>
      <c r="K19" s="37">
        <f t="shared" si="0"/>
        <v>4.83</v>
      </c>
      <c r="L19" s="37">
        <v>5.7</v>
      </c>
      <c r="M19" s="36">
        <v>3.43</v>
      </c>
      <c r="N19" s="36">
        <v>3.52</v>
      </c>
      <c r="O19" s="36">
        <v>2.2000000000000002</v>
      </c>
      <c r="P19" s="37">
        <f t="shared" si="1"/>
        <v>5.7200000000000006</v>
      </c>
      <c r="Q19" s="36">
        <v>5.52</v>
      </c>
      <c r="R19" s="36">
        <v>3.32</v>
      </c>
      <c r="S19" s="38">
        <f t="shared" si="2"/>
        <v>3.4512195121951224</v>
      </c>
      <c r="T19" s="38">
        <f t="shared" si="3"/>
        <v>1.0602409638554218</v>
      </c>
      <c r="U19" s="38">
        <f t="shared" si="10"/>
        <v>1.5110132158590308</v>
      </c>
      <c r="V19" s="39">
        <f t="shared" si="4"/>
        <v>0.57950530035335679</v>
      </c>
      <c r="W19" s="39">
        <f t="shared" si="5"/>
        <v>1.0362318840579712</v>
      </c>
      <c r="X19" s="41"/>
      <c r="Y19" s="41"/>
      <c r="Z19" s="41"/>
      <c r="AA19" s="41"/>
      <c r="AB19" s="41"/>
      <c r="AC19" s="36"/>
      <c r="AD19" s="36"/>
      <c r="AE19" s="36"/>
      <c r="AF19" s="42"/>
      <c r="AG19" s="43">
        <f t="shared" si="6"/>
        <v>0</v>
      </c>
      <c r="AH19" s="41"/>
      <c r="AI19" s="41"/>
      <c r="AJ19" s="41"/>
      <c r="AK19" s="41"/>
      <c r="AL19" s="41"/>
      <c r="AM19" s="36"/>
      <c r="AN19" s="36"/>
      <c r="AO19" s="36"/>
      <c r="AP19" s="42"/>
      <c r="AQ19" s="43">
        <f t="shared" si="9"/>
        <v>0</v>
      </c>
      <c r="AR19" s="44">
        <v>0.06</v>
      </c>
      <c r="AS19" s="41">
        <v>0.31</v>
      </c>
      <c r="AT19" s="41" t="s">
        <v>104</v>
      </c>
      <c r="AU19" s="41">
        <v>0.04</v>
      </c>
      <c r="AV19" s="41">
        <v>0.04</v>
      </c>
      <c r="AW19" s="41" t="s">
        <v>104</v>
      </c>
      <c r="AX19" s="41">
        <v>0.02</v>
      </c>
      <c r="AY19" s="41">
        <v>0.01</v>
      </c>
      <c r="AZ19" s="41">
        <v>73.8</v>
      </c>
      <c r="BA19" s="41" t="s">
        <v>86</v>
      </c>
      <c r="BB19" s="36">
        <v>760</v>
      </c>
      <c r="BC19" s="36">
        <v>132</v>
      </c>
      <c r="BD19" s="36">
        <v>110</v>
      </c>
      <c r="BE19" s="36">
        <v>0.2</v>
      </c>
      <c r="BF19" s="36">
        <v>0.12</v>
      </c>
      <c r="BG19" s="36"/>
      <c r="BH19" s="36"/>
      <c r="BI19" s="36"/>
      <c r="BJ19" s="36"/>
      <c r="BK19" s="36">
        <v>0.27</v>
      </c>
      <c r="BL19" s="45">
        <v>3.7</v>
      </c>
      <c r="BM19" s="36">
        <v>2.04</v>
      </c>
      <c r="BN19" s="36">
        <v>3.44</v>
      </c>
      <c r="BO19" s="63">
        <v>128</v>
      </c>
      <c r="BP19" s="98">
        <v>110</v>
      </c>
      <c r="BQ19" s="43">
        <f t="shared" si="7"/>
        <v>1.6862745098039216</v>
      </c>
      <c r="BR19" s="47">
        <f t="shared" si="8"/>
        <v>1.0755813953488373</v>
      </c>
      <c r="BS19" s="45">
        <v>1.94</v>
      </c>
      <c r="BT19" s="41">
        <v>3.98</v>
      </c>
      <c r="BU19" s="41">
        <v>1.32</v>
      </c>
      <c r="BV19" s="41"/>
      <c r="BW19" s="41"/>
      <c r="BX19" s="41">
        <v>24.2</v>
      </c>
      <c r="BY19" s="41">
        <v>25.2</v>
      </c>
      <c r="BZ19" s="41"/>
      <c r="CA19" s="41"/>
      <c r="CB19" s="41"/>
      <c r="CC19" s="41">
        <v>0.35</v>
      </c>
      <c r="CD19" s="36">
        <v>-0.4</v>
      </c>
      <c r="CE19" s="36" t="s">
        <v>104</v>
      </c>
      <c r="CF19" s="36" t="s">
        <v>104</v>
      </c>
      <c r="CG19" s="36">
        <v>2.2599999999999998</v>
      </c>
      <c r="CH19" s="36">
        <v>2.4</v>
      </c>
      <c r="CI19" s="36" t="s">
        <v>104</v>
      </c>
      <c r="CJ19" s="134">
        <v>2.44</v>
      </c>
      <c r="CK19" s="238" t="s">
        <v>545</v>
      </c>
      <c r="CL19" s="239"/>
      <c r="CM19" s="36" t="s">
        <v>117</v>
      </c>
      <c r="CN19" s="36" t="s">
        <v>546</v>
      </c>
      <c r="CO19" s="36">
        <v>4.1000000000000002E-2</v>
      </c>
      <c r="CP19" s="36">
        <v>1.2E-2</v>
      </c>
      <c r="CQ19" s="36"/>
      <c r="CR19" s="36"/>
      <c r="CS19" s="36"/>
      <c r="CT19" s="36"/>
      <c r="CU19" s="36">
        <v>3.4</v>
      </c>
      <c r="CV19" s="61">
        <v>95.4</v>
      </c>
      <c r="CW19" s="41"/>
      <c r="CX19" s="66"/>
      <c r="CY19" s="66"/>
      <c r="CZ19" s="66"/>
      <c r="DA19" s="66"/>
      <c r="DB19" s="66"/>
      <c r="DC19" s="36"/>
      <c r="DD19" s="36"/>
      <c r="DE19" s="36"/>
      <c r="DF19" s="36"/>
      <c r="DG19" s="36"/>
      <c r="DH19" s="61">
        <v>680</v>
      </c>
      <c r="DI19" s="36">
        <v>884</v>
      </c>
      <c r="DJ19" s="36">
        <v>4828</v>
      </c>
      <c r="DK19" s="36">
        <v>3128</v>
      </c>
      <c r="DL19" s="36" t="s">
        <v>86</v>
      </c>
      <c r="DM19" s="36"/>
      <c r="DN19" s="36"/>
      <c r="DO19" s="36"/>
      <c r="DP19" s="36"/>
      <c r="DQ19" s="36"/>
      <c r="DR19" s="36"/>
      <c r="DS19" s="36"/>
      <c r="DT19" s="36"/>
      <c r="DU19" s="36"/>
    </row>
    <row r="20" spans="1:125" s="48" customFormat="1" ht="16.5" customHeight="1" x14ac:dyDescent="0.3">
      <c r="A20" s="34">
        <v>46271</v>
      </c>
      <c r="B20" s="74" t="s">
        <v>85</v>
      </c>
      <c r="C20" s="36">
        <v>2.68</v>
      </c>
      <c r="D20" s="36">
        <v>3.9</v>
      </c>
      <c r="E20" s="36">
        <v>0.8</v>
      </c>
      <c r="F20" s="36">
        <v>0.8</v>
      </c>
      <c r="G20" s="36">
        <v>2.7</v>
      </c>
      <c r="H20" s="36">
        <v>3.58</v>
      </c>
      <c r="I20" s="36">
        <v>2.61</v>
      </c>
      <c r="J20" s="36">
        <v>2.21</v>
      </c>
      <c r="K20" s="37">
        <f t="shared" si="0"/>
        <v>4.82</v>
      </c>
      <c r="L20" s="37">
        <v>5.68</v>
      </c>
      <c r="M20" s="36">
        <v>3.47</v>
      </c>
      <c r="N20" s="36">
        <v>3.57</v>
      </c>
      <c r="O20" s="36">
        <v>2.1800000000000002</v>
      </c>
      <c r="P20" s="37">
        <f t="shared" si="1"/>
        <v>5.75</v>
      </c>
      <c r="Q20" s="36">
        <v>5.56</v>
      </c>
      <c r="R20" s="36">
        <v>3.38</v>
      </c>
      <c r="S20" s="38">
        <f t="shared" si="2"/>
        <v>3.35</v>
      </c>
      <c r="T20" s="38">
        <f t="shared" si="3"/>
        <v>1.0562130177514792</v>
      </c>
      <c r="U20" s="38">
        <f t="shared" si="10"/>
        <v>1.570135746606335</v>
      </c>
      <c r="V20" s="39">
        <f t="shared" si="4"/>
        <v>0.59701492537313428</v>
      </c>
      <c r="W20" s="39">
        <f t="shared" si="5"/>
        <v>1.0341726618705036</v>
      </c>
      <c r="X20" s="41">
        <v>2.84</v>
      </c>
      <c r="Y20" s="41">
        <v>2.54</v>
      </c>
      <c r="Z20" s="41">
        <v>3</v>
      </c>
      <c r="AA20" s="41">
        <v>2.82</v>
      </c>
      <c r="AB20" s="41">
        <v>2.86</v>
      </c>
      <c r="AC20" s="36" t="s">
        <v>100</v>
      </c>
      <c r="AD20" s="36">
        <v>2.7</v>
      </c>
      <c r="AE20" s="36">
        <v>2.7</v>
      </c>
      <c r="AF20" s="42">
        <v>2.81</v>
      </c>
      <c r="AG20" s="43">
        <f t="shared" si="6"/>
        <v>58.783783783783797</v>
      </c>
      <c r="AH20" s="41">
        <v>2.2000000000000002</v>
      </c>
      <c r="AI20" s="41">
        <v>2.16</v>
      </c>
      <c r="AJ20" s="41" t="s">
        <v>100</v>
      </c>
      <c r="AK20" s="41">
        <v>2.2400000000000002</v>
      </c>
      <c r="AL20" s="41">
        <v>2.2000000000000002</v>
      </c>
      <c r="AM20" s="36" t="s">
        <v>100</v>
      </c>
      <c r="AN20" s="36">
        <v>2.2000000000000002</v>
      </c>
      <c r="AO20" s="36">
        <v>2.2200000000000002</v>
      </c>
      <c r="AP20" s="42">
        <v>2.2000000000000002</v>
      </c>
      <c r="AQ20" s="43">
        <f t="shared" si="9"/>
        <v>41.216216216216203</v>
      </c>
      <c r="AR20" s="44">
        <v>0.25</v>
      </c>
      <c r="AS20" s="41">
        <v>0.4</v>
      </c>
      <c r="AT20" s="41" t="s">
        <v>100</v>
      </c>
      <c r="AU20" s="41">
        <v>0.37</v>
      </c>
      <c r="AV20" s="41">
        <v>0.15</v>
      </c>
      <c r="AW20" s="41" t="s">
        <v>100</v>
      </c>
      <c r="AX20" s="41">
        <v>0.18</v>
      </c>
      <c r="AY20" s="41">
        <v>0.24</v>
      </c>
      <c r="AZ20" s="41">
        <v>70.099999999999994</v>
      </c>
      <c r="BA20" s="41" t="s">
        <v>86</v>
      </c>
      <c r="BB20" s="36">
        <v>840</v>
      </c>
      <c r="BC20" s="36">
        <v>181</v>
      </c>
      <c r="BD20" s="36">
        <v>84</v>
      </c>
      <c r="BE20" s="36">
        <v>0.24</v>
      </c>
      <c r="BF20" s="36">
        <v>0.12</v>
      </c>
      <c r="BG20" s="36">
        <v>1.6</v>
      </c>
      <c r="BH20" s="36">
        <v>14.9</v>
      </c>
      <c r="BI20" s="36">
        <v>14.5</v>
      </c>
      <c r="BJ20" s="36">
        <v>262</v>
      </c>
      <c r="BK20" s="36">
        <v>0.3</v>
      </c>
      <c r="BL20" s="45">
        <v>3.52</v>
      </c>
      <c r="BM20" s="36">
        <v>2</v>
      </c>
      <c r="BN20" s="36">
        <v>3.44</v>
      </c>
      <c r="BO20" s="63">
        <v>87</v>
      </c>
      <c r="BP20" s="98">
        <v>86</v>
      </c>
      <c r="BQ20" s="43">
        <f t="shared" si="7"/>
        <v>1.72</v>
      </c>
      <c r="BR20" s="47">
        <f t="shared" si="8"/>
        <v>1.0232558139534884</v>
      </c>
      <c r="BS20" s="45">
        <v>1.83</v>
      </c>
      <c r="BT20" s="41">
        <v>3.99</v>
      </c>
      <c r="BU20" s="41">
        <v>1.3</v>
      </c>
      <c r="BV20" s="41"/>
      <c r="BW20" s="41"/>
      <c r="BX20" s="41">
        <v>25.3</v>
      </c>
      <c r="BY20" s="41">
        <v>21.3</v>
      </c>
      <c r="BZ20" s="41"/>
      <c r="CA20" s="41"/>
      <c r="CB20" s="41"/>
      <c r="CC20" s="41">
        <v>0.13</v>
      </c>
      <c r="CD20" s="36">
        <v>0.12</v>
      </c>
      <c r="CE20" s="36" t="s">
        <v>100</v>
      </c>
      <c r="CF20" s="36" t="s">
        <v>100</v>
      </c>
      <c r="CG20" s="36">
        <v>2.5</v>
      </c>
      <c r="CH20" s="36">
        <v>2.4</v>
      </c>
      <c r="CI20" s="36">
        <v>2.52</v>
      </c>
      <c r="CJ20" s="135" t="s">
        <v>100</v>
      </c>
      <c r="CK20" s="238" t="s">
        <v>548</v>
      </c>
      <c r="CL20" s="239"/>
      <c r="CM20" s="36" t="s">
        <v>147</v>
      </c>
      <c r="CN20" s="36" t="s">
        <v>150</v>
      </c>
      <c r="CO20" s="36">
        <v>4.1000000000000002E-2</v>
      </c>
      <c r="CP20" s="36">
        <v>1.2E-2</v>
      </c>
      <c r="CQ20" s="36">
        <v>2.2999999999999998</v>
      </c>
      <c r="CR20" s="36">
        <v>27.8</v>
      </c>
      <c r="CS20" s="36">
        <v>4.7</v>
      </c>
      <c r="CT20" s="36">
        <v>160</v>
      </c>
      <c r="CU20" s="36">
        <v>4.9000000000000004</v>
      </c>
      <c r="CV20" s="61">
        <v>106.5</v>
      </c>
      <c r="CW20" s="41">
        <v>1560</v>
      </c>
      <c r="CX20" s="66">
        <v>0.84</v>
      </c>
      <c r="CY20" s="66" t="s">
        <v>100</v>
      </c>
      <c r="CZ20" s="66">
        <v>0.56000000000000005</v>
      </c>
      <c r="DA20" s="66">
        <v>0.72</v>
      </c>
      <c r="DB20" s="66">
        <v>0.16</v>
      </c>
      <c r="DC20" s="36">
        <v>0.57999999999999996</v>
      </c>
      <c r="DD20" s="36">
        <v>21.1</v>
      </c>
      <c r="DE20" s="36" t="s">
        <v>100</v>
      </c>
      <c r="DF20" s="36">
        <v>0.01</v>
      </c>
      <c r="DG20" s="36">
        <v>0.01</v>
      </c>
      <c r="DH20" s="61">
        <v>612</v>
      </c>
      <c r="DI20" s="36">
        <v>1700</v>
      </c>
      <c r="DJ20" s="36">
        <v>7480</v>
      </c>
      <c r="DK20" s="36">
        <v>1564</v>
      </c>
      <c r="DL20" s="36" t="s">
        <v>86</v>
      </c>
      <c r="DM20" s="36"/>
      <c r="DN20" s="36"/>
      <c r="DO20" s="36"/>
      <c r="DP20" s="36"/>
      <c r="DQ20" s="36"/>
      <c r="DR20" s="36"/>
      <c r="DS20" s="36"/>
      <c r="DT20" s="36"/>
      <c r="DU20" s="36"/>
    </row>
    <row r="21" spans="1:125" s="48" customFormat="1" ht="16.5" customHeight="1" x14ac:dyDescent="0.3">
      <c r="A21" s="34"/>
      <c r="B21" s="74" t="s">
        <v>102</v>
      </c>
      <c r="C21" s="36">
        <v>2.73</v>
      </c>
      <c r="D21" s="36">
        <v>3.91</v>
      </c>
      <c r="E21" s="36">
        <v>0.88</v>
      </c>
      <c r="F21" s="36">
        <v>1.37</v>
      </c>
      <c r="G21" s="36">
        <v>2.68</v>
      </c>
      <c r="H21" s="36">
        <v>3.66</v>
      </c>
      <c r="I21" s="36">
        <v>2.5499999999999998</v>
      </c>
      <c r="J21" s="36">
        <v>2.2200000000000002</v>
      </c>
      <c r="K21" s="37">
        <f t="shared" si="0"/>
        <v>4.7699999999999996</v>
      </c>
      <c r="L21" s="37">
        <v>5.64</v>
      </c>
      <c r="M21" s="36">
        <v>3.42</v>
      </c>
      <c r="N21" s="36">
        <v>3.52</v>
      </c>
      <c r="O21" s="36">
        <v>2.17</v>
      </c>
      <c r="P21" s="37">
        <f t="shared" si="1"/>
        <v>5.6899999999999995</v>
      </c>
      <c r="Q21" s="36">
        <v>5.55</v>
      </c>
      <c r="R21" s="36">
        <v>3.38</v>
      </c>
      <c r="S21" s="38">
        <f t="shared" si="2"/>
        <v>3.1022727272727271</v>
      </c>
      <c r="T21" s="38">
        <f t="shared" si="3"/>
        <v>1.0414201183431953</v>
      </c>
      <c r="U21" s="38">
        <f t="shared" si="10"/>
        <v>1.5405405405405403</v>
      </c>
      <c r="V21" s="39">
        <f t="shared" si="4"/>
        <v>0.64468864468864473</v>
      </c>
      <c r="W21" s="39">
        <f t="shared" si="5"/>
        <v>1.0252252252252252</v>
      </c>
      <c r="X21" s="41">
        <v>2.78</v>
      </c>
      <c r="Y21" s="41">
        <v>2.54</v>
      </c>
      <c r="Z21" s="41">
        <v>2.9</v>
      </c>
      <c r="AA21" s="41">
        <v>2.84</v>
      </c>
      <c r="AB21" s="41">
        <v>2.8</v>
      </c>
      <c r="AC21" s="36">
        <v>2.82</v>
      </c>
      <c r="AD21" s="36">
        <v>2.72</v>
      </c>
      <c r="AE21" s="36">
        <v>2.68</v>
      </c>
      <c r="AF21" s="42">
        <v>2.79</v>
      </c>
      <c r="AG21" s="43">
        <f t="shared" si="6"/>
        <v>57.24637681159421</v>
      </c>
      <c r="AH21" s="41">
        <v>2.12</v>
      </c>
      <c r="AI21" s="41">
        <v>2.2400000000000002</v>
      </c>
      <c r="AJ21" s="41" t="s">
        <v>100</v>
      </c>
      <c r="AK21" s="41">
        <v>2.1800000000000002</v>
      </c>
      <c r="AL21" s="41">
        <v>2.3199999999999998</v>
      </c>
      <c r="AM21" s="36" t="s">
        <v>100</v>
      </c>
      <c r="AN21" s="36">
        <v>2.1800000000000002</v>
      </c>
      <c r="AO21" s="36">
        <v>2.2000000000000002</v>
      </c>
      <c r="AP21" s="42">
        <v>2.2000000000000002</v>
      </c>
      <c r="AQ21" s="43">
        <f t="shared" si="9"/>
        <v>42.75362318840579</v>
      </c>
      <c r="AR21" s="44">
        <v>0.25</v>
      </c>
      <c r="AS21" s="41">
        <v>0.41</v>
      </c>
      <c r="AT21" s="41" t="s">
        <v>100</v>
      </c>
      <c r="AU21" s="41">
        <v>0.1</v>
      </c>
      <c r="AV21" s="41">
        <v>0.05</v>
      </c>
      <c r="AW21" s="41" t="s">
        <v>100</v>
      </c>
      <c r="AX21" s="41">
        <v>0.18</v>
      </c>
      <c r="AY21" s="41">
        <v>0.09</v>
      </c>
      <c r="AZ21" s="41">
        <v>71.5</v>
      </c>
      <c r="BA21" s="41" t="s">
        <v>86</v>
      </c>
      <c r="BB21" s="36">
        <v>1010</v>
      </c>
      <c r="BC21" s="36">
        <v>104</v>
      </c>
      <c r="BD21" s="36">
        <v>97</v>
      </c>
      <c r="BE21" s="36">
        <v>0.22</v>
      </c>
      <c r="BF21" s="36">
        <v>0.1</v>
      </c>
      <c r="BG21" s="36"/>
      <c r="BH21" s="36"/>
      <c r="BI21" s="36"/>
      <c r="BJ21" s="36"/>
      <c r="BK21" s="36">
        <v>0.28999999999999998</v>
      </c>
      <c r="BL21" s="45">
        <v>3.52</v>
      </c>
      <c r="BM21" s="36">
        <v>2.02</v>
      </c>
      <c r="BN21" s="36">
        <v>3.46</v>
      </c>
      <c r="BO21" s="63">
        <v>92</v>
      </c>
      <c r="BP21" s="98">
        <v>73</v>
      </c>
      <c r="BQ21" s="43">
        <f t="shared" si="7"/>
        <v>1.7128712871287128</v>
      </c>
      <c r="BR21" s="47">
        <f t="shared" si="8"/>
        <v>1.0173410404624277</v>
      </c>
      <c r="BS21" s="45">
        <v>1.81</v>
      </c>
      <c r="BT21" s="41">
        <v>4.04</v>
      </c>
      <c r="BU21" s="41">
        <v>1.3</v>
      </c>
      <c r="BV21" s="41"/>
      <c r="BW21" s="41"/>
      <c r="BX21" s="41"/>
      <c r="BY21" s="41"/>
      <c r="BZ21" s="41">
        <v>21.4</v>
      </c>
      <c r="CA21" s="41">
        <v>21.1</v>
      </c>
      <c r="CB21" s="41"/>
      <c r="CC21" s="41">
        <v>0.27</v>
      </c>
      <c r="CD21" s="36">
        <v>-0.12</v>
      </c>
      <c r="CE21" s="36" t="s">
        <v>100</v>
      </c>
      <c r="CF21" s="36">
        <v>2.42</v>
      </c>
      <c r="CG21" s="36">
        <v>2.5</v>
      </c>
      <c r="CH21" s="36" t="s">
        <v>100</v>
      </c>
      <c r="CI21" s="36" t="s">
        <v>100</v>
      </c>
      <c r="CJ21" s="136">
        <v>2.38</v>
      </c>
      <c r="CK21" s="238" t="s">
        <v>549</v>
      </c>
      <c r="CL21" s="239"/>
      <c r="CM21" s="36" t="s">
        <v>172</v>
      </c>
      <c r="CN21" s="36" t="s">
        <v>491</v>
      </c>
      <c r="CO21" s="36">
        <v>4.1000000000000002E-2</v>
      </c>
      <c r="CP21" s="36">
        <v>1.2E-2</v>
      </c>
      <c r="CQ21" s="36"/>
      <c r="CR21" s="36"/>
      <c r="CS21" s="36"/>
      <c r="CT21" s="36"/>
      <c r="CU21" s="36">
        <v>4.5</v>
      </c>
      <c r="CV21" s="61">
        <v>109.2</v>
      </c>
      <c r="CW21" s="41"/>
      <c r="CX21" s="66"/>
      <c r="CY21" s="66"/>
      <c r="CZ21" s="66"/>
      <c r="DA21" s="66"/>
      <c r="DB21" s="66"/>
      <c r="DC21" s="36"/>
      <c r="DD21" s="36"/>
      <c r="DE21" s="36"/>
      <c r="DF21" s="36"/>
      <c r="DG21" s="36"/>
      <c r="DH21" s="61">
        <v>408</v>
      </c>
      <c r="DI21" s="36">
        <v>884</v>
      </c>
      <c r="DJ21" s="36">
        <v>5100</v>
      </c>
      <c r="DK21" s="36">
        <v>2856</v>
      </c>
      <c r="DL21" s="36" t="s">
        <v>86</v>
      </c>
      <c r="DM21" s="36">
        <v>0.4</v>
      </c>
      <c r="DN21" s="36">
        <v>1.5</v>
      </c>
      <c r="DO21" s="36">
        <v>27.4</v>
      </c>
      <c r="DP21" s="36">
        <v>14.1</v>
      </c>
      <c r="DQ21" s="36">
        <v>33.200000000000003</v>
      </c>
      <c r="DR21" s="36">
        <v>23.8</v>
      </c>
      <c r="DS21" s="36">
        <v>213</v>
      </c>
      <c r="DT21" s="36">
        <v>1305</v>
      </c>
      <c r="DU21" s="36">
        <v>248</v>
      </c>
    </row>
    <row r="22" spans="1:125" s="48" customFormat="1" ht="16.5" customHeight="1" x14ac:dyDescent="0.3">
      <c r="A22" s="34"/>
      <c r="B22" s="74" t="s">
        <v>103</v>
      </c>
      <c r="C22" s="36">
        <v>2.69</v>
      </c>
      <c r="D22" s="36">
        <v>3.94</v>
      </c>
      <c r="E22" s="36">
        <v>0.84</v>
      </c>
      <c r="F22" s="36">
        <v>1.38</v>
      </c>
      <c r="G22" s="36">
        <v>2.68</v>
      </c>
      <c r="H22" s="36">
        <v>3.66</v>
      </c>
      <c r="I22" s="36">
        <v>2.5499999999999998</v>
      </c>
      <c r="J22" s="36">
        <v>2.25</v>
      </c>
      <c r="K22" s="37">
        <f t="shared" si="0"/>
        <v>4.8</v>
      </c>
      <c r="L22" s="37">
        <v>5.7</v>
      </c>
      <c r="M22" s="36">
        <v>3.45</v>
      </c>
      <c r="N22" s="36">
        <v>3.6</v>
      </c>
      <c r="O22" s="36">
        <v>2.17</v>
      </c>
      <c r="P22" s="37">
        <f t="shared" si="1"/>
        <v>5.77</v>
      </c>
      <c r="Q22" s="36">
        <v>5.55</v>
      </c>
      <c r="R22" s="36">
        <v>3.38</v>
      </c>
      <c r="S22" s="38">
        <f t="shared" si="2"/>
        <v>3.2023809523809526</v>
      </c>
      <c r="T22" s="38">
        <f t="shared" si="3"/>
        <v>1.0650887573964498</v>
      </c>
      <c r="U22" s="38">
        <f t="shared" si="10"/>
        <v>1.5333333333333334</v>
      </c>
      <c r="V22" s="39">
        <f t="shared" si="4"/>
        <v>0.62453531598513012</v>
      </c>
      <c r="W22" s="39">
        <f t="shared" si="5"/>
        <v>1.0396396396396397</v>
      </c>
      <c r="X22" s="41"/>
      <c r="Y22" s="41"/>
      <c r="Z22" s="41"/>
      <c r="AA22" s="41"/>
      <c r="AB22" s="41"/>
      <c r="AC22" s="36"/>
      <c r="AD22" s="36"/>
      <c r="AE22" s="36"/>
      <c r="AF22" s="42"/>
      <c r="AG22" s="43"/>
      <c r="AH22" s="41"/>
      <c r="AI22" s="41"/>
      <c r="AJ22" s="41"/>
      <c r="AK22" s="41"/>
      <c r="AL22" s="41"/>
      <c r="AM22" s="36"/>
      <c r="AN22" s="36"/>
      <c r="AO22" s="36"/>
      <c r="AP22" s="42"/>
      <c r="AQ22" s="43"/>
      <c r="AR22" s="44">
        <v>0.06</v>
      </c>
      <c r="AS22" s="41">
        <v>0.25</v>
      </c>
      <c r="AT22" s="41" t="s">
        <v>104</v>
      </c>
      <c r="AU22" s="41">
        <v>0.03</v>
      </c>
      <c r="AV22" s="41">
        <v>0.04</v>
      </c>
      <c r="AW22" s="41" t="s">
        <v>104</v>
      </c>
      <c r="AX22" s="41">
        <v>0.15</v>
      </c>
      <c r="AY22" s="41">
        <v>0.02</v>
      </c>
      <c r="AZ22" s="41">
        <v>72.400000000000006</v>
      </c>
      <c r="BA22" s="41" t="s">
        <v>86</v>
      </c>
      <c r="BB22" s="36">
        <v>971</v>
      </c>
      <c r="BC22" s="36">
        <v>60</v>
      </c>
      <c r="BD22" s="36">
        <v>72</v>
      </c>
      <c r="BE22" s="36">
        <v>0.22</v>
      </c>
      <c r="BF22" s="36">
        <v>0.12</v>
      </c>
      <c r="BG22" s="36"/>
      <c r="BH22" s="36"/>
      <c r="BI22" s="36"/>
      <c r="BJ22" s="36"/>
      <c r="BK22" s="36">
        <v>0.28999999999999998</v>
      </c>
      <c r="BL22" s="45">
        <v>3.54</v>
      </c>
      <c r="BM22" s="36">
        <v>2.04</v>
      </c>
      <c r="BN22" s="36">
        <v>3.48</v>
      </c>
      <c r="BO22" s="63">
        <v>96</v>
      </c>
      <c r="BP22" s="98">
        <v>114</v>
      </c>
      <c r="BQ22" s="43">
        <f t="shared" si="7"/>
        <v>1.7058823529411764</v>
      </c>
      <c r="BR22" s="47">
        <f t="shared" si="8"/>
        <v>1.0172413793103448</v>
      </c>
      <c r="BS22" s="45">
        <v>1.6</v>
      </c>
      <c r="BT22" s="41">
        <v>4.05</v>
      </c>
      <c r="BU22" s="41">
        <v>1.3</v>
      </c>
      <c r="BV22" s="41"/>
      <c r="BW22" s="41"/>
      <c r="BX22" s="41"/>
      <c r="BY22" s="41"/>
      <c r="BZ22" s="41">
        <v>23</v>
      </c>
      <c r="CA22" s="41">
        <v>22.5</v>
      </c>
      <c r="CB22" s="41"/>
      <c r="CC22" s="41">
        <v>0.15</v>
      </c>
      <c r="CD22" s="36">
        <v>0.04</v>
      </c>
      <c r="CE22" s="36" t="s">
        <v>104</v>
      </c>
      <c r="CF22" s="36">
        <v>2.42</v>
      </c>
      <c r="CG22" s="36" t="s">
        <v>104</v>
      </c>
      <c r="CH22" s="36">
        <v>2.5</v>
      </c>
      <c r="CI22" s="36" t="s">
        <v>104</v>
      </c>
      <c r="CJ22" s="137">
        <v>2.36</v>
      </c>
      <c r="CK22" s="238" t="s">
        <v>550</v>
      </c>
      <c r="CL22" s="239"/>
      <c r="CM22" s="36" t="s">
        <v>335</v>
      </c>
      <c r="CN22" s="36" t="s">
        <v>551</v>
      </c>
      <c r="CO22" s="36">
        <v>0.04</v>
      </c>
      <c r="CP22" s="36">
        <v>1.0999999999999999E-2</v>
      </c>
      <c r="CQ22" s="36"/>
      <c r="CR22" s="36"/>
      <c r="CS22" s="36"/>
      <c r="CT22" s="36"/>
      <c r="CU22" s="36">
        <v>4.2</v>
      </c>
      <c r="CV22" s="61">
        <v>108.2</v>
      </c>
      <c r="CW22" s="41"/>
      <c r="CX22" s="66"/>
      <c r="CY22" s="66"/>
      <c r="CZ22" s="66"/>
      <c r="DA22" s="66"/>
      <c r="DB22" s="66"/>
      <c r="DC22" s="36"/>
      <c r="DD22" s="36"/>
      <c r="DE22" s="36"/>
      <c r="DF22" s="36"/>
      <c r="DG22" s="36"/>
      <c r="DH22" s="61">
        <v>680</v>
      </c>
      <c r="DI22" s="36">
        <v>1088</v>
      </c>
      <c r="DJ22" s="36">
        <v>6868</v>
      </c>
      <c r="DK22" s="36">
        <v>2448</v>
      </c>
      <c r="DL22" s="36" t="s">
        <v>86</v>
      </c>
      <c r="DM22" s="36"/>
      <c r="DN22" s="36"/>
      <c r="DO22" s="36"/>
      <c r="DP22" s="36"/>
      <c r="DQ22" s="36"/>
      <c r="DR22" s="36"/>
      <c r="DS22" s="36"/>
      <c r="DT22" s="36"/>
      <c r="DU22" s="36"/>
    </row>
    <row r="23" spans="1:125" s="48" customFormat="1" ht="16.5" customHeight="1" x14ac:dyDescent="0.3">
      <c r="A23" s="34">
        <v>46272</v>
      </c>
      <c r="B23" s="74" t="s">
        <v>85</v>
      </c>
      <c r="C23" s="36">
        <v>2.58</v>
      </c>
      <c r="D23" s="36">
        <v>3.92</v>
      </c>
      <c r="E23" s="36">
        <v>0.79</v>
      </c>
      <c r="F23" s="36">
        <v>1.47</v>
      </c>
      <c r="G23" s="36">
        <v>2.64</v>
      </c>
      <c r="H23" s="36">
        <v>3.68</v>
      </c>
      <c r="I23" s="36">
        <v>2.59</v>
      </c>
      <c r="J23" s="36">
        <v>2.2599999999999998</v>
      </c>
      <c r="K23" s="37">
        <f t="shared" si="0"/>
        <v>4.8499999999999996</v>
      </c>
      <c r="L23" s="37">
        <v>5.74</v>
      </c>
      <c r="M23" s="36">
        <v>3.48</v>
      </c>
      <c r="N23" s="36">
        <v>3.4</v>
      </c>
      <c r="O23" s="36">
        <v>2.1800000000000002</v>
      </c>
      <c r="P23" s="37">
        <f t="shared" si="1"/>
        <v>5.58</v>
      </c>
      <c r="Q23" s="36">
        <v>5.59</v>
      </c>
      <c r="R23" s="36">
        <v>3.41</v>
      </c>
      <c r="S23" s="38">
        <f t="shared" si="2"/>
        <v>3.2658227848101267</v>
      </c>
      <c r="T23" s="38">
        <f t="shared" si="3"/>
        <v>0.9970674486803518</v>
      </c>
      <c r="U23" s="38">
        <f t="shared" si="10"/>
        <v>1.5398230088495577</v>
      </c>
      <c r="V23" s="39">
        <f t="shared" si="4"/>
        <v>0.61240310077519378</v>
      </c>
      <c r="W23" s="39">
        <f t="shared" si="5"/>
        <v>0.99821109123434704</v>
      </c>
      <c r="X23" s="41">
        <v>2.64</v>
      </c>
      <c r="Y23" s="41">
        <v>2.9</v>
      </c>
      <c r="Z23" s="41">
        <v>2.74</v>
      </c>
      <c r="AA23" s="41" t="s">
        <v>100</v>
      </c>
      <c r="AB23" s="41">
        <v>2.8</v>
      </c>
      <c r="AC23" s="36">
        <v>2.76</v>
      </c>
      <c r="AD23" s="36">
        <v>2.74</v>
      </c>
      <c r="AE23" s="36">
        <v>2.7</v>
      </c>
      <c r="AF23" s="42">
        <v>2.77</v>
      </c>
      <c r="AG23" s="43">
        <f t="shared" si="6"/>
        <v>64.02877697841727</v>
      </c>
      <c r="AH23" s="41">
        <v>2.3199999999999998</v>
      </c>
      <c r="AI23" s="41">
        <v>2.2000000000000002</v>
      </c>
      <c r="AJ23" s="41" t="s">
        <v>100</v>
      </c>
      <c r="AK23" s="41">
        <v>2.2000000000000002</v>
      </c>
      <c r="AL23" s="41">
        <v>2.2999999999999998</v>
      </c>
      <c r="AM23" s="36" t="s">
        <v>100</v>
      </c>
      <c r="AN23" s="36">
        <v>2.2200000000000002</v>
      </c>
      <c r="AO23" s="36">
        <v>2.36</v>
      </c>
      <c r="AP23" s="42">
        <v>2.27</v>
      </c>
      <c r="AQ23" s="43">
        <f t="shared" si="9"/>
        <v>35.97122302158273</v>
      </c>
      <c r="AR23" s="44">
        <v>0.04</v>
      </c>
      <c r="AS23" s="41">
        <v>0.19</v>
      </c>
      <c r="AT23" s="41" t="s">
        <v>100</v>
      </c>
      <c r="AU23" s="41">
        <v>0.02</v>
      </c>
      <c r="AV23" s="41">
        <v>0.12</v>
      </c>
      <c r="AW23" s="41" t="s">
        <v>100</v>
      </c>
      <c r="AX23" s="41">
        <v>0.2</v>
      </c>
      <c r="AY23" s="41">
        <v>0.2</v>
      </c>
      <c r="AZ23" s="41">
        <v>74.3</v>
      </c>
      <c r="BA23" s="41" t="s">
        <v>86</v>
      </c>
      <c r="BB23" s="36">
        <v>660</v>
      </c>
      <c r="BC23" s="36">
        <v>72</v>
      </c>
      <c r="BD23" s="36">
        <v>86</v>
      </c>
      <c r="BE23" s="36">
        <v>0.2</v>
      </c>
      <c r="BF23" s="36">
        <v>0.12</v>
      </c>
      <c r="BG23" s="36"/>
      <c r="BH23" s="36"/>
      <c r="BI23" s="36"/>
      <c r="BJ23" s="36"/>
      <c r="BK23" s="36">
        <v>0.28000000000000003</v>
      </c>
      <c r="BL23" s="45">
        <v>3.58</v>
      </c>
      <c r="BM23" s="36">
        <v>2.1</v>
      </c>
      <c r="BN23" s="36">
        <v>3.46</v>
      </c>
      <c r="BO23" s="63">
        <v>74</v>
      </c>
      <c r="BP23" s="98">
        <v>51</v>
      </c>
      <c r="BQ23" s="43">
        <f t="shared" si="7"/>
        <v>1.6476190476190475</v>
      </c>
      <c r="BR23" s="47">
        <f t="shared" si="8"/>
        <v>1.0346820809248556</v>
      </c>
      <c r="BS23" s="45">
        <v>1.76</v>
      </c>
      <c r="BT23" s="41">
        <v>3.98</v>
      </c>
      <c r="BU23" s="41">
        <v>1.5</v>
      </c>
      <c r="BV23" s="41"/>
      <c r="BW23" s="41"/>
      <c r="BX23" s="41"/>
      <c r="BY23" s="41"/>
      <c r="BZ23" s="41">
        <v>21</v>
      </c>
      <c r="CA23" s="41">
        <v>25.8</v>
      </c>
      <c r="CB23" s="41"/>
      <c r="CC23" s="41">
        <v>0.22</v>
      </c>
      <c r="CD23" s="36">
        <v>0.06</v>
      </c>
      <c r="CE23" s="36" t="s">
        <v>100</v>
      </c>
      <c r="CF23" s="36">
        <v>2.44</v>
      </c>
      <c r="CG23" s="36" t="s">
        <v>100</v>
      </c>
      <c r="CH23" s="36">
        <v>2.4</v>
      </c>
      <c r="CI23" s="36" t="s">
        <v>100</v>
      </c>
      <c r="CJ23" s="138">
        <v>2.2400000000000002</v>
      </c>
      <c r="CK23" s="238" t="s">
        <v>553</v>
      </c>
      <c r="CL23" s="239"/>
      <c r="CM23" s="36" t="s">
        <v>107</v>
      </c>
      <c r="CN23" s="36" t="s">
        <v>554</v>
      </c>
      <c r="CO23" s="36">
        <v>0.04</v>
      </c>
      <c r="CP23" s="36">
        <v>0.01</v>
      </c>
      <c r="CQ23" s="36">
        <v>2.4</v>
      </c>
      <c r="CR23" s="36">
        <v>27.9</v>
      </c>
      <c r="CS23" s="36">
        <v>7.4</v>
      </c>
      <c r="CT23" s="36">
        <v>354</v>
      </c>
      <c r="CU23" s="36">
        <v>4</v>
      </c>
      <c r="CV23" s="61">
        <v>117.6</v>
      </c>
      <c r="CW23" s="41">
        <v>1524</v>
      </c>
      <c r="CX23" s="66">
        <v>0.86</v>
      </c>
      <c r="CY23" s="66" t="s">
        <v>100</v>
      </c>
      <c r="CZ23" s="66">
        <v>0.42</v>
      </c>
      <c r="DA23" s="66">
        <v>0.84</v>
      </c>
      <c r="DB23" s="66">
        <v>0.42</v>
      </c>
      <c r="DC23" s="36">
        <v>0.52</v>
      </c>
      <c r="DD23" s="36">
        <v>14.8</v>
      </c>
      <c r="DE23" s="36" t="s">
        <v>100</v>
      </c>
      <c r="DF23" s="36">
        <v>0.03</v>
      </c>
      <c r="DG23" s="36">
        <v>0.03</v>
      </c>
      <c r="DH23" s="61" t="s">
        <v>100</v>
      </c>
      <c r="DI23" s="36" t="s">
        <v>100</v>
      </c>
      <c r="DJ23" s="36">
        <v>2924</v>
      </c>
      <c r="DK23" s="36">
        <v>5032</v>
      </c>
      <c r="DL23" s="36" t="s">
        <v>86</v>
      </c>
      <c r="DM23" s="36"/>
      <c r="DN23" s="36"/>
      <c r="DO23" s="36"/>
      <c r="DP23" s="36"/>
      <c r="DQ23" s="36"/>
      <c r="DR23" s="36"/>
      <c r="DS23" s="36"/>
      <c r="DT23" s="36"/>
      <c r="DU23" s="36"/>
    </row>
    <row r="24" spans="1:125" s="48" customFormat="1" ht="16.5" customHeight="1" x14ac:dyDescent="0.3">
      <c r="A24" s="34"/>
      <c r="B24" s="74" t="s">
        <v>102</v>
      </c>
      <c r="C24" s="36">
        <v>2.78</v>
      </c>
      <c r="D24" s="36">
        <v>3.95</v>
      </c>
      <c r="E24" s="36">
        <v>0.8</v>
      </c>
      <c r="F24" s="36">
        <v>1.43</v>
      </c>
      <c r="G24" s="36">
        <v>2.7</v>
      </c>
      <c r="H24" s="36">
        <v>3.6</v>
      </c>
      <c r="I24" s="36">
        <v>2.58</v>
      </c>
      <c r="J24" s="36">
        <v>2.2400000000000002</v>
      </c>
      <c r="K24" s="37">
        <f t="shared" si="0"/>
        <v>4.82</v>
      </c>
      <c r="L24" s="37">
        <v>572</v>
      </c>
      <c r="M24" s="36">
        <v>3.48</v>
      </c>
      <c r="N24" s="36">
        <v>3.62</v>
      </c>
      <c r="O24" s="36">
        <v>2.2000000000000002</v>
      </c>
      <c r="P24" s="37">
        <f t="shared" si="1"/>
        <v>5.82</v>
      </c>
      <c r="Q24" s="36">
        <v>5.58</v>
      </c>
      <c r="R24" s="36">
        <v>3.39</v>
      </c>
      <c r="S24" s="38">
        <f t="shared" si="2"/>
        <v>3.4749999999999996</v>
      </c>
      <c r="T24" s="38">
        <f t="shared" si="3"/>
        <v>1.0678466076696165</v>
      </c>
      <c r="U24" s="38">
        <f t="shared" si="10"/>
        <v>1.5535714285714284</v>
      </c>
      <c r="V24" s="39">
        <f t="shared" si="4"/>
        <v>0.57553956834532383</v>
      </c>
      <c r="W24" s="39">
        <f t="shared" si="5"/>
        <v>1.043010752688172</v>
      </c>
      <c r="X24" s="41">
        <v>2.8</v>
      </c>
      <c r="Y24" s="41">
        <v>2.88</v>
      </c>
      <c r="Z24" s="41">
        <v>2.8</v>
      </c>
      <c r="AA24" s="41">
        <v>2.84</v>
      </c>
      <c r="AB24" s="41">
        <v>2.96</v>
      </c>
      <c r="AC24" s="36">
        <v>2.82</v>
      </c>
      <c r="AD24" s="36">
        <v>2.76</v>
      </c>
      <c r="AE24" s="36" t="s">
        <v>100</v>
      </c>
      <c r="AF24" s="42">
        <v>2.8</v>
      </c>
      <c r="AG24" s="43">
        <f t="shared" si="6"/>
        <v>61.111111111111136</v>
      </c>
      <c r="AH24" s="41">
        <v>2.2200000000000002</v>
      </c>
      <c r="AI24" s="41">
        <v>2.3199999999999998</v>
      </c>
      <c r="AJ24" s="41" t="s">
        <v>100</v>
      </c>
      <c r="AK24" s="41">
        <v>2.2000000000000002</v>
      </c>
      <c r="AL24" s="41">
        <v>2.3199999999999998</v>
      </c>
      <c r="AM24" s="36" t="s">
        <v>100</v>
      </c>
      <c r="AN24" s="36">
        <v>2.2000000000000002</v>
      </c>
      <c r="AO24" s="36">
        <v>2.34</v>
      </c>
      <c r="AP24" s="42">
        <v>2.2400000000000002</v>
      </c>
      <c r="AQ24" s="43">
        <f t="shared" si="9"/>
        <v>38.888888888888864</v>
      </c>
      <c r="AR24" s="44">
        <v>0.15</v>
      </c>
      <c r="AS24" s="41">
        <v>0.3</v>
      </c>
      <c r="AT24" s="41" t="s">
        <v>100</v>
      </c>
      <c r="AU24" s="41">
        <v>0.02</v>
      </c>
      <c r="AV24" s="41">
        <v>0.18</v>
      </c>
      <c r="AW24" s="41" t="s">
        <v>100</v>
      </c>
      <c r="AX24" s="41">
        <v>0.14000000000000001</v>
      </c>
      <c r="AY24" s="41">
        <v>0.14000000000000001</v>
      </c>
      <c r="AZ24" s="41">
        <v>72.599999999999994</v>
      </c>
      <c r="BA24" s="41" t="s">
        <v>86</v>
      </c>
      <c r="BB24" s="36">
        <v>515</v>
      </c>
      <c r="BC24" s="36">
        <v>67</v>
      </c>
      <c r="BD24" s="36">
        <v>69</v>
      </c>
      <c r="BE24" s="36">
        <v>0.2</v>
      </c>
      <c r="BF24" s="36">
        <v>0.16</v>
      </c>
      <c r="BG24" s="36"/>
      <c r="BH24" s="36"/>
      <c r="BI24" s="36"/>
      <c r="BJ24" s="36"/>
      <c r="BK24" s="36">
        <v>0.28999999999999998</v>
      </c>
      <c r="BL24" s="45">
        <v>3.6</v>
      </c>
      <c r="BM24" s="36">
        <v>2.04</v>
      </c>
      <c r="BN24" s="36">
        <v>3.48</v>
      </c>
      <c r="BO24" s="63">
        <v>71</v>
      </c>
      <c r="BP24" s="98">
        <v>102</v>
      </c>
      <c r="BQ24" s="43">
        <f t="shared" si="7"/>
        <v>1.7058823529411764</v>
      </c>
      <c r="BR24" s="47">
        <f t="shared" si="8"/>
        <v>1.0344827586206897</v>
      </c>
      <c r="BS24" s="45">
        <v>1.76</v>
      </c>
      <c r="BT24" s="41">
        <v>4.04</v>
      </c>
      <c r="BU24" s="41">
        <v>1.5</v>
      </c>
      <c r="BV24" s="41">
        <v>23.3</v>
      </c>
      <c r="BW24" s="41">
        <v>25.8</v>
      </c>
      <c r="BX24" s="41"/>
      <c r="BY24" s="41"/>
      <c r="BZ24" s="41"/>
      <c r="CA24" s="41"/>
      <c r="CB24" s="41"/>
      <c r="CC24" s="41">
        <v>0.23</v>
      </c>
      <c r="CD24" s="36">
        <v>-0.06</v>
      </c>
      <c r="CE24" s="36">
        <v>2.48</v>
      </c>
      <c r="CF24" s="36">
        <v>2.46</v>
      </c>
      <c r="CG24" s="36" t="s">
        <v>100</v>
      </c>
      <c r="CH24" s="36" t="s">
        <v>100</v>
      </c>
      <c r="CI24" s="36" t="s">
        <v>100</v>
      </c>
      <c r="CJ24" s="139">
        <v>2.44</v>
      </c>
      <c r="CK24" s="238" t="s">
        <v>555</v>
      </c>
      <c r="CL24" s="239"/>
      <c r="CM24" s="36" t="s">
        <v>556</v>
      </c>
      <c r="CN24" s="36" t="s">
        <v>141</v>
      </c>
      <c r="CO24" s="36">
        <v>3.7999999999999999E-2</v>
      </c>
      <c r="CP24" s="36">
        <v>0.01</v>
      </c>
      <c r="CQ24" s="36"/>
      <c r="CR24" s="36"/>
      <c r="CS24" s="36"/>
      <c r="CT24" s="36"/>
      <c r="CU24" s="36">
        <v>3.9</v>
      </c>
      <c r="CV24" s="61">
        <v>108.7</v>
      </c>
      <c r="CW24" s="41"/>
      <c r="CX24" s="66"/>
      <c r="CY24" s="66"/>
      <c r="CZ24" s="66"/>
      <c r="DA24" s="66"/>
      <c r="DB24" s="66"/>
      <c r="DC24" s="36"/>
      <c r="DD24" s="36"/>
      <c r="DE24" s="36"/>
      <c r="DF24" s="36"/>
      <c r="DG24" s="36"/>
      <c r="DH24" s="61">
        <v>1360</v>
      </c>
      <c r="DI24" s="36">
        <v>1020</v>
      </c>
      <c r="DJ24" s="36">
        <v>1428</v>
      </c>
      <c r="DK24" s="36">
        <v>4828</v>
      </c>
      <c r="DL24" s="36" t="s">
        <v>86</v>
      </c>
      <c r="DM24" s="36"/>
      <c r="DN24" s="36">
        <v>2.1</v>
      </c>
      <c r="DO24" s="36">
        <v>23.2</v>
      </c>
      <c r="DP24" s="36">
        <v>20.399999999999999</v>
      </c>
      <c r="DQ24" s="36">
        <v>31.9</v>
      </c>
      <c r="DR24" s="36">
        <v>22.4</v>
      </c>
      <c r="DS24" s="36">
        <v>215</v>
      </c>
      <c r="DT24" s="36"/>
      <c r="DU24" s="36"/>
    </row>
    <row r="25" spans="1:125" s="48" customFormat="1" ht="16.5" customHeight="1" x14ac:dyDescent="0.3">
      <c r="A25" s="34"/>
      <c r="B25" s="74" t="s">
        <v>103</v>
      </c>
      <c r="C25" s="36">
        <v>2.7</v>
      </c>
      <c r="D25" s="36">
        <v>3.79</v>
      </c>
      <c r="E25" s="36">
        <v>0.76</v>
      </c>
      <c r="F25" s="36">
        <v>1.45</v>
      </c>
      <c r="G25" s="36">
        <v>2.7</v>
      </c>
      <c r="H25" s="36">
        <v>3.6</v>
      </c>
      <c r="I25" s="36">
        <v>2.61</v>
      </c>
      <c r="J25" s="36">
        <v>2.19</v>
      </c>
      <c r="K25" s="37">
        <f t="shared" si="0"/>
        <v>4.8</v>
      </c>
      <c r="L25" s="37">
        <v>5.68</v>
      </c>
      <c r="M25" s="36">
        <v>3.49</v>
      </c>
      <c r="N25" s="36">
        <v>3.5</v>
      </c>
      <c r="O25" s="36">
        <v>2.16</v>
      </c>
      <c r="P25" s="37">
        <f t="shared" si="1"/>
        <v>5.66</v>
      </c>
      <c r="Q25" s="36">
        <v>5.56</v>
      </c>
      <c r="R25" s="36">
        <v>3.4</v>
      </c>
      <c r="S25" s="38">
        <f t="shared" si="2"/>
        <v>3.5526315789473686</v>
      </c>
      <c r="T25" s="38">
        <f t="shared" si="3"/>
        <v>1.0294117647058825</v>
      </c>
      <c r="U25" s="38">
        <f t="shared" si="10"/>
        <v>1.5936073059360731</v>
      </c>
      <c r="V25" s="39">
        <f t="shared" si="4"/>
        <v>0.56296296296296289</v>
      </c>
      <c r="W25" s="39">
        <f t="shared" si="5"/>
        <v>1.0179856115107915</v>
      </c>
      <c r="X25" s="41"/>
      <c r="Y25" s="41"/>
      <c r="Z25" s="41"/>
      <c r="AA25" s="41"/>
      <c r="AB25" s="41"/>
      <c r="AC25" s="36"/>
      <c r="AD25" s="36"/>
      <c r="AE25" s="36"/>
      <c r="AF25" s="42"/>
      <c r="AG25" s="43">
        <f t="shared" si="6"/>
        <v>0</v>
      </c>
      <c r="AH25" s="41"/>
      <c r="AI25" s="41"/>
      <c r="AJ25" s="41"/>
      <c r="AK25" s="41"/>
      <c r="AL25" s="41"/>
      <c r="AM25" s="36"/>
      <c r="AN25" s="36"/>
      <c r="AO25" s="36"/>
      <c r="AP25" s="42"/>
      <c r="AQ25" s="43">
        <f t="shared" si="9"/>
        <v>0</v>
      </c>
      <c r="AR25" s="44">
        <v>0.12</v>
      </c>
      <c r="AS25" s="41">
        <v>0.35</v>
      </c>
      <c r="AT25" s="41" t="s">
        <v>104</v>
      </c>
      <c r="AU25" s="41">
        <v>0.1</v>
      </c>
      <c r="AV25" s="41">
        <v>7.0000000000000007E-2</v>
      </c>
      <c r="AW25" s="41" t="s">
        <v>104</v>
      </c>
      <c r="AX25" s="41">
        <v>0.26</v>
      </c>
      <c r="AY25" s="41">
        <v>0.11</v>
      </c>
      <c r="AZ25" s="41">
        <v>71.599999999999994</v>
      </c>
      <c r="BA25" s="41" t="s">
        <v>86</v>
      </c>
      <c r="BB25" s="36">
        <v>670</v>
      </c>
      <c r="BC25" s="36">
        <v>62</v>
      </c>
      <c r="BD25" s="36">
        <v>74</v>
      </c>
      <c r="BE25" s="36">
        <v>0.21</v>
      </c>
      <c r="BF25" s="36">
        <v>0.14000000000000001</v>
      </c>
      <c r="BG25" s="36"/>
      <c r="BH25" s="36"/>
      <c r="BI25" s="36"/>
      <c r="BJ25" s="36"/>
      <c r="BK25" s="36">
        <v>0.28000000000000003</v>
      </c>
      <c r="BL25" s="45">
        <v>3.46</v>
      </c>
      <c r="BM25" s="36">
        <v>2.08</v>
      </c>
      <c r="BN25" s="36">
        <v>3.48</v>
      </c>
      <c r="BO25" s="63">
        <v>80</v>
      </c>
      <c r="BP25" s="98">
        <v>70</v>
      </c>
      <c r="BQ25" s="43">
        <f t="shared" si="7"/>
        <v>1.6730769230769229</v>
      </c>
      <c r="BR25" s="47">
        <f t="shared" si="8"/>
        <v>0.99425287356321834</v>
      </c>
      <c r="BS25" s="45">
        <v>1.79</v>
      </c>
      <c r="BT25" s="41">
        <v>3.89</v>
      </c>
      <c r="BU25" s="41">
        <v>1.5</v>
      </c>
      <c r="BV25" s="41"/>
      <c r="BW25" s="41"/>
      <c r="BX25" s="41">
        <v>21.7</v>
      </c>
      <c r="BY25" s="41">
        <v>22.5</v>
      </c>
      <c r="BZ25" s="41"/>
      <c r="CA25" s="41"/>
      <c r="CB25" s="41"/>
      <c r="CC25" s="41">
        <v>0.4</v>
      </c>
      <c r="CD25" s="36">
        <v>0.04</v>
      </c>
      <c r="CE25" s="36">
        <v>2.2400000000000002</v>
      </c>
      <c r="CF25" s="36">
        <v>2.2799999999999998</v>
      </c>
      <c r="CG25" s="36" t="s">
        <v>104</v>
      </c>
      <c r="CH25" s="36" t="s">
        <v>104</v>
      </c>
      <c r="CI25" s="36" t="s">
        <v>104</v>
      </c>
      <c r="CJ25" s="140">
        <v>2.2000000000000002</v>
      </c>
      <c r="CK25" s="238" t="s">
        <v>557</v>
      </c>
      <c r="CL25" s="239"/>
      <c r="CM25" s="36" t="s">
        <v>483</v>
      </c>
      <c r="CN25" s="36" t="s">
        <v>558</v>
      </c>
      <c r="CO25" s="36">
        <v>0.04</v>
      </c>
      <c r="CP25" s="36">
        <v>1.2E-2</v>
      </c>
      <c r="CQ25" s="36"/>
      <c r="CR25" s="36"/>
      <c r="CS25" s="36"/>
      <c r="CT25" s="36"/>
      <c r="CU25" s="36">
        <v>3.4</v>
      </c>
      <c r="CV25" s="61">
        <v>114.5</v>
      </c>
      <c r="CW25" s="41"/>
      <c r="CX25" s="66"/>
      <c r="CY25" s="66"/>
      <c r="CZ25" s="66"/>
      <c r="DA25" s="66"/>
      <c r="DB25" s="66"/>
      <c r="DC25" s="36"/>
      <c r="DD25" s="36"/>
      <c r="DE25" s="36"/>
      <c r="DF25" s="36"/>
      <c r="DG25" s="36"/>
      <c r="DH25" s="61" t="s">
        <v>104</v>
      </c>
      <c r="DI25" s="36" t="s">
        <v>104</v>
      </c>
      <c r="DJ25" s="36">
        <v>1700</v>
      </c>
      <c r="DK25" s="36">
        <v>2720</v>
      </c>
      <c r="DL25" s="36" t="s">
        <v>86</v>
      </c>
      <c r="DM25" s="36"/>
      <c r="DN25" s="36"/>
      <c r="DO25" s="36"/>
      <c r="DP25" s="36"/>
      <c r="DQ25" s="36"/>
      <c r="DR25" s="36"/>
      <c r="DS25" s="36"/>
      <c r="DT25" s="36"/>
      <c r="DU25" s="36"/>
    </row>
    <row r="26" spans="1:125" s="48" customFormat="1" ht="16.5" customHeight="1" x14ac:dyDescent="0.3">
      <c r="A26" s="34">
        <v>46273</v>
      </c>
      <c r="B26" s="74" t="s">
        <v>85</v>
      </c>
      <c r="C26" s="36">
        <v>2.73</v>
      </c>
      <c r="D26" s="36">
        <v>3.9</v>
      </c>
      <c r="E26" s="36">
        <v>0.78</v>
      </c>
      <c r="F26" s="36">
        <v>1.4</v>
      </c>
      <c r="G26" s="36">
        <v>2.66</v>
      </c>
      <c r="H26" s="36">
        <v>3.6</v>
      </c>
      <c r="I26" s="36">
        <v>2.67</v>
      </c>
      <c r="J26" s="36">
        <v>2.23</v>
      </c>
      <c r="K26" s="37">
        <f t="shared" si="0"/>
        <v>4.9000000000000004</v>
      </c>
      <c r="L26" s="37">
        <v>5.7</v>
      </c>
      <c r="M26" s="36">
        <v>3.47</v>
      </c>
      <c r="N26" s="36">
        <v>3.69</v>
      </c>
      <c r="O26" s="36">
        <v>2.19</v>
      </c>
      <c r="P26" s="37">
        <f t="shared" si="1"/>
        <v>5.88</v>
      </c>
      <c r="Q26" s="36">
        <v>5.58</v>
      </c>
      <c r="R26" s="36">
        <v>3.39</v>
      </c>
      <c r="S26" s="38">
        <f t="shared" si="2"/>
        <v>3.5</v>
      </c>
      <c r="T26" s="38">
        <f t="shared" si="3"/>
        <v>1.0884955752212389</v>
      </c>
      <c r="U26" s="38">
        <f t="shared" si="10"/>
        <v>1.5560538116591929</v>
      </c>
      <c r="V26" s="39">
        <f t="shared" si="4"/>
        <v>0.5714285714285714</v>
      </c>
      <c r="W26" s="39">
        <f t="shared" si="5"/>
        <v>1.053763440860215</v>
      </c>
      <c r="X26" s="41">
        <v>2.9</v>
      </c>
      <c r="Y26" s="41">
        <v>2.72</v>
      </c>
      <c r="Z26" s="41">
        <v>2.84</v>
      </c>
      <c r="AA26" s="41">
        <v>2.88</v>
      </c>
      <c r="AB26" s="41">
        <v>2.8</v>
      </c>
      <c r="AC26" s="36">
        <v>2.76</v>
      </c>
      <c r="AD26" s="36">
        <v>2.68</v>
      </c>
      <c r="AE26" s="36">
        <v>2.7</v>
      </c>
      <c r="AF26" s="42">
        <v>2.77</v>
      </c>
      <c r="AG26" s="43">
        <f t="shared" si="6"/>
        <v>59.712230215827333</v>
      </c>
      <c r="AH26" s="41">
        <v>2.2599999999999998</v>
      </c>
      <c r="AI26" s="41">
        <v>2.16</v>
      </c>
      <c r="AJ26" s="41" t="s">
        <v>104</v>
      </c>
      <c r="AK26" s="41">
        <v>2.1</v>
      </c>
      <c r="AL26" s="41">
        <v>2.34</v>
      </c>
      <c r="AM26" s="36" t="s">
        <v>104</v>
      </c>
      <c r="AN26" s="36">
        <v>2.1800000000000002</v>
      </c>
      <c r="AO26" s="36">
        <v>2.2599999999999998</v>
      </c>
      <c r="AP26" s="42">
        <v>2.21</v>
      </c>
      <c r="AQ26" s="43">
        <f t="shared" si="9"/>
        <v>40.28776978417266</v>
      </c>
      <c r="AR26" s="44">
        <v>0.06</v>
      </c>
      <c r="AS26" s="41">
        <v>0.24</v>
      </c>
      <c r="AT26" s="41" t="s">
        <v>104</v>
      </c>
      <c r="AU26" s="41">
        <v>0.05</v>
      </c>
      <c r="AV26" s="41">
        <v>0.25</v>
      </c>
      <c r="AW26" s="41" t="s">
        <v>104</v>
      </c>
      <c r="AX26" s="41">
        <v>0.38</v>
      </c>
      <c r="AY26" s="41">
        <v>0.09</v>
      </c>
      <c r="AZ26" s="41">
        <v>81.900000000000006</v>
      </c>
      <c r="BA26" s="41" t="s">
        <v>86</v>
      </c>
      <c r="BB26" s="36">
        <v>560</v>
      </c>
      <c r="BC26" s="36">
        <v>71</v>
      </c>
      <c r="BD26" s="36">
        <v>73</v>
      </c>
      <c r="BE26" s="36">
        <v>0.19</v>
      </c>
      <c r="BF26" s="36">
        <v>0.1</v>
      </c>
      <c r="BG26" s="36"/>
      <c r="BH26" s="36"/>
      <c r="BI26" s="36"/>
      <c r="BJ26" s="36"/>
      <c r="BK26" s="36">
        <v>0.27</v>
      </c>
      <c r="BL26" s="45">
        <v>3.64</v>
      </c>
      <c r="BM26" s="36">
        <v>2.12</v>
      </c>
      <c r="BN26" s="36">
        <v>3.4</v>
      </c>
      <c r="BO26" s="63">
        <v>84</v>
      </c>
      <c r="BP26" s="98">
        <v>81</v>
      </c>
      <c r="BQ26" s="43">
        <f t="shared" si="7"/>
        <v>1.6037735849056602</v>
      </c>
      <c r="BR26" s="47">
        <f t="shared" si="8"/>
        <v>1.0705882352941176</v>
      </c>
      <c r="BS26" s="45">
        <v>1.82</v>
      </c>
      <c r="BT26" s="41">
        <v>3.96</v>
      </c>
      <c r="BU26" s="41">
        <v>1.44</v>
      </c>
      <c r="BV26" s="41"/>
      <c r="BW26" s="41"/>
      <c r="BX26" s="41">
        <v>25.4</v>
      </c>
      <c r="BY26" s="41">
        <v>25.8</v>
      </c>
      <c r="BZ26" s="41"/>
      <c r="CA26" s="41"/>
      <c r="CB26" s="41"/>
      <c r="CC26" s="41">
        <v>0.18</v>
      </c>
      <c r="CD26" s="36">
        <v>0.08</v>
      </c>
      <c r="CE26" s="36">
        <v>2.38</v>
      </c>
      <c r="CF26" s="36">
        <v>2.3199999999999998</v>
      </c>
      <c r="CG26" s="36">
        <v>2.44</v>
      </c>
      <c r="CH26" s="36" t="s">
        <v>104</v>
      </c>
      <c r="CI26" s="36" t="s">
        <v>104</v>
      </c>
      <c r="CJ26" s="141" t="s">
        <v>104</v>
      </c>
      <c r="CK26" s="238" t="s">
        <v>560</v>
      </c>
      <c r="CL26" s="239"/>
      <c r="CM26" s="36" t="s">
        <v>561</v>
      </c>
      <c r="CN26" s="36" t="s">
        <v>452</v>
      </c>
      <c r="CO26" s="36">
        <v>0.04</v>
      </c>
      <c r="CP26" s="36">
        <v>1.2E-2</v>
      </c>
      <c r="CQ26" s="36">
        <v>2.6</v>
      </c>
      <c r="CR26" s="36">
        <v>26.6</v>
      </c>
      <c r="CS26" s="36">
        <v>7.9</v>
      </c>
      <c r="CT26" s="36">
        <v>212</v>
      </c>
      <c r="CU26" s="36">
        <v>4.2</v>
      </c>
      <c r="CV26" s="61">
        <v>106</v>
      </c>
      <c r="CW26" s="41">
        <v>886</v>
      </c>
      <c r="CX26" s="66">
        <v>0.7</v>
      </c>
      <c r="CY26" s="66" t="s">
        <v>100</v>
      </c>
      <c r="CZ26" s="66">
        <v>0.32</v>
      </c>
      <c r="DA26" s="66">
        <v>0.64</v>
      </c>
      <c r="DB26" s="66">
        <v>0.32</v>
      </c>
      <c r="DC26" s="36">
        <v>1.46</v>
      </c>
      <c r="DD26" s="36">
        <v>61.5</v>
      </c>
      <c r="DE26" s="36" t="s">
        <v>104</v>
      </c>
      <c r="DF26" s="36">
        <v>0.02</v>
      </c>
      <c r="DG26" s="36">
        <v>0.02</v>
      </c>
      <c r="DH26" s="61">
        <v>4352</v>
      </c>
      <c r="DI26" s="36">
        <v>3808</v>
      </c>
      <c r="DJ26" s="36">
        <v>11560</v>
      </c>
      <c r="DK26" s="36">
        <v>4250</v>
      </c>
      <c r="DL26" s="36" t="s">
        <v>86</v>
      </c>
      <c r="DM26" s="36"/>
      <c r="DN26" s="36"/>
      <c r="DO26" s="36"/>
      <c r="DP26" s="36"/>
      <c r="DQ26" s="36"/>
      <c r="DR26" s="36"/>
      <c r="DS26" s="36"/>
      <c r="DT26" s="36"/>
      <c r="DU26" s="36"/>
    </row>
    <row r="27" spans="1:125" s="48" customFormat="1" ht="16.5" customHeight="1" x14ac:dyDescent="0.3">
      <c r="A27" s="34"/>
      <c r="B27" s="74" t="s">
        <v>102</v>
      </c>
      <c r="C27" s="36">
        <v>2.73</v>
      </c>
      <c r="D27" s="36">
        <v>3.98</v>
      </c>
      <c r="E27" s="36">
        <v>0.91</v>
      </c>
      <c r="F27" s="36">
        <v>1.32</v>
      </c>
      <c r="G27" s="36">
        <v>2.68</v>
      </c>
      <c r="H27" s="36">
        <v>3.64</v>
      </c>
      <c r="I27" s="36">
        <v>2.61</v>
      </c>
      <c r="J27" s="36">
        <v>2.23</v>
      </c>
      <c r="K27" s="37">
        <f t="shared" si="0"/>
        <v>4.84</v>
      </c>
      <c r="L27" s="37">
        <v>5.69</v>
      </c>
      <c r="M27" s="36">
        <v>3.46</v>
      </c>
      <c r="N27" s="36">
        <v>3.59</v>
      </c>
      <c r="O27" s="36">
        <v>2.15</v>
      </c>
      <c r="P27" s="37">
        <f t="shared" si="1"/>
        <v>5.74</v>
      </c>
      <c r="Q27" s="36">
        <v>5.53</v>
      </c>
      <c r="R27" s="36">
        <v>3.38</v>
      </c>
      <c r="S27" s="38">
        <f t="shared" si="2"/>
        <v>3</v>
      </c>
      <c r="T27" s="38">
        <f t="shared" si="3"/>
        <v>1.0621301775147929</v>
      </c>
      <c r="U27" s="38">
        <f t="shared" si="10"/>
        <v>1.5515695067264574</v>
      </c>
      <c r="V27" s="39">
        <f t="shared" si="4"/>
        <v>0.66666666666666674</v>
      </c>
      <c r="W27" s="39">
        <f t="shared" si="5"/>
        <v>1.0379746835443038</v>
      </c>
      <c r="X27" s="41">
        <v>2.72</v>
      </c>
      <c r="Y27" s="41">
        <v>2.84</v>
      </c>
      <c r="Z27" s="41">
        <v>2.78</v>
      </c>
      <c r="AA27" s="41">
        <v>2.92</v>
      </c>
      <c r="AB27" s="41">
        <v>2.8</v>
      </c>
      <c r="AC27" s="36">
        <v>2.58</v>
      </c>
      <c r="AD27" s="36">
        <v>2.6</v>
      </c>
      <c r="AE27" s="36">
        <v>2.8</v>
      </c>
      <c r="AF27" s="42">
        <v>2.76</v>
      </c>
      <c r="AG27" s="43">
        <f t="shared" si="6"/>
        <v>60.431654676259008</v>
      </c>
      <c r="AH27" s="41">
        <v>2.2000000000000002</v>
      </c>
      <c r="AI27" s="41">
        <v>2.3199999999999998</v>
      </c>
      <c r="AJ27" s="41" t="s">
        <v>104</v>
      </c>
      <c r="AK27" s="41" t="s">
        <v>104</v>
      </c>
      <c r="AL27" s="41">
        <v>2.2599999999999998</v>
      </c>
      <c r="AM27" s="36" t="s">
        <v>104</v>
      </c>
      <c r="AN27" s="36">
        <v>2.12</v>
      </c>
      <c r="AO27" s="36">
        <v>2.16</v>
      </c>
      <c r="AP27" s="42">
        <v>2.21</v>
      </c>
      <c r="AQ27" s="43">
        <f t="shared" si="9"/>
        <v>39.568345323740992</v>
      </c>
      <c r="AR27" s="44">
        <v>7.0000000000000007E-2</v>
      </c>
      <c r="AS27" s="41">
        <v>0.13</v>
      </c>
      <c r="AT27" s="41" t="s">
        <v>104</v>
      </c>
      <c r="AU27" s="41" t="s">
        <v>104</v>
      </c>
      <c r="AV27" s="41">
        <v>0.05</v>
      </c>
      <c r="AW27" s="41" t="s">
        <v>104</v>
      </c>
      <c r="AX27" s="41">
        <v>0.14000000000000001</v>
      </c>
      <c r="AY27" s="41">
        <v>0.13</v>
      </c>
      <c r="AZ27" s="41">
        <v>71.099999999999994</v>
      </c>
      <c r="BA27" s="41" t="s">
        <v>86</v>
      </c>
      <c r="BB27" s="36">
        <v>1060</v>
      </c>
      <c r="BC27" s="36">
        <v>84</v>
      </c>
      <c r="BD27" s="36">
        <v>97</v>
      </c>
      <c r="BE27" s="36">
        <v>0.21</v>
      </c>
      <c r="BF27" s="36">
        <v>0.14000000000000001</v>
      </c>
      <c r="BG27" s="36"/>
      <c r="BH27" s="36"/>
      <c r="BI27" s="36"/>
      <c r="BJ27" s="36"/>
      <c r="BK27" s="36">
        <v>0.3</v>
      </c>
      <c r="BL27" s="45">
        <v>3.64</v>
      </c>
      <c r="BM27" s="36">
        <v>1.98</v>
      </c>
      <c r="BN27" s="36">
        <v>3.5</v>
      </c>
      <c r="BO27" s="63">
        <v>96</v>
      </c>
      <c r="BP27" s="98">
        <v>102</v>
      </c>
      <c r="BQ27" s="43">
        <f t="shared" si="7"/>
        <v>1.7676767676767677</v>
      </c>
      <c r="BR27" s="47">
        <f t="shared" si="8"/>
        <v>1.04</v>
      </c>
      <c r="BS27" s="45">
        <v>1.69</v>
      </c>
      <c r="BT27" s="41">
        <v>4.13</v>
      </c>
      <c r="BU27" s="41">
        <v>1.44</v>
      </c>
      <c r="BV27" s="41"/>
      <c r="BW27" s="41"/>
      <c r="BX27" s="41"/>
      <c r="BY27" s="41"/>
      <c r="BZ27" s="41">
        <v>23.3</v>
      </c>
      <c r="CA27" s="41">
        <v>21.8</v>
      </c>
      <c r="CB27" s="41"/>
      <c r="CC27" s="41">
        <v>0.18</v>
      </c>
      <c r="CD27" s="36">
        <v>0.1</v>
      </c>
      <c r="CE27" s="36">
        <v>2.6</v>
      </c>
      <c r="CF27" s="36">
        <v>2.52</v>
      </c>
      <c r="CG27" s="36">
        <v>2.62</v>
      </c>
      <c r="CH27" s="36" t="s">
        <v>104</v>
      </c>
      <c r="CI27" s="36" t="s">
        <v>104</v>
      </c>
      <c r="CJ27" s="142" t="s">
        <v>104</v>
      </c>
      <c r="CK27" s="238" t="s">
        <v>562</v>
      </c>
      <c r="CL27" s="239"/>
      <c r="CM27" s="36" t="s">
        <v>563</v>
      </c>
      <c r="CN27" s="36" t="s">
        <v>475</v>
      </c>
      <c r="CO27" s="36">
        <v>3.9E-2</v>
      </c>
      <c r="CP27" s="36">
        <v>1.0999999999999999E-2</v>
      </c>
      <c r="CQ27" s="36"/>
      <c r="CR27" s="36"/>
      <c r="CS27" s="36"/>
      <c r="CT27" s="36"/>
      <c r="CU27" s="36">
        <v>2.5</v>
      </c>
      <c r="CV27" s="61">
        <v>64.2</v>
      </c>
      <c r="CW27" s="41"/>
      <c r="CX27" s="66"/>
      <c r="CY27" s="66"/>
      <c r="CZ27" s="66"/>
      <c r="DA27" s="66"/>
      <c r="DB27" s="66"/>
      <c r="DC27" s="36"/>
      <c r="DD27" s="36"/>
      <c r="DE27" s="36"/>
      <c r="DF27" s="36"/>
      <c r="DG27" s="36"/>
      <c r="DH27" s="61">
        <v>680</v>
      </c>
      <c r="DI27" s="36">
        <v>1156</v>
      </c>
      <c r="DJ27" s="36">
        <v>6392</v>
      </c>
      <c r="DK27" s="36">
        <v>2040</v>
      </c>
      <c r="DL27" s="36" t="s">
        <v>86</v>
      </c>
      <c r="DM27" s="36"/>
      <c r="DN27" s="36">
        <v>2.6</v>
      </c>
      <c r="DO27" s="36">
        <v>23.5</v>
      </c>
      <c r="DP27" s="36">
        <v>14.9</v>
      </c>
      <c r="DQ27" s="36">
        <v>27.8</v>
      </c>
      <c r="DR27" s="36">
        <v>31.2</v>
      </c>
      <c r="DS27" s="36">
        <v>198</v>
      </c>
      <c r="DT27" s="36"/>
      <c r="DU27" s="36"/>
    </row>
    <row r="28" spans="1:125" s="48" customFormat="1" ht="16.5" customHeight="1" x14ac:dyDescent="0.3">
      <c r="A28" s="34"/>
      <c r="B28" s="74" t="s">
        <v>103</v>
      </c>
      <c r="C28" s="36">
        <v>2.4</v>
      </c>
      <c r="D28" s="36">
        <v>4.05</v>
      </c>
      <c r="E28" s="36">
        <v>0.85</v>
      </c>
      <c r="F28" s="36">
        <v>1.3</v>
      </c>
      <c r="G28" s="36">
        <v>2.68</v>
      </c>
      <c r="H28" s="36">
        <v>3.64</v>
      </c>
      <c r="I28" s="36">
        <v>2.6</v>
      </c>
      <c r="J28" s="36">
        <v>2.1800000000000002</v>
      </c>
      <c r="K28" s="37">
        <f t="shared" si="0"/>
        <v>4.78</v>
      </c>
      <c r="L28" s="37">
        <v>5.69</v>
      </c>
      <c r="M28" s="36">
        <v>3.49</v>
      </c>
      <c r="N28" s="36">
        <v>3.55</v>
      </c>
      <c r="O28" s="36">
        <v>2.1</v>
      </c>
      <c r="P28" s="37">
        <f t="shared" si="1"/>
        <v>5.65</v>
      </c>
      <c r="Q28" s="36">
        <v>5.48</v>
      </c>
      <c r="R28" s="36">
        <v>3.38</v>
      </c>
      <c r="S28" s="38">
        <f t="shared" si="2"/>
        <v>2.8235294117647061</v>
      </c>
      <c r="T28" s="38">
        <f t="shared" si="3"/>
        <v>1.0502958579881656</v>
      </c>
      <c r="U28" s="38">
        <f t="shared" si="10"/>
        <v>1.6009174311926606</v>
      </c>
      <c r="V28" s="39">
        <f t="shared" si="4"/>
        <v>0.70833333333333337</v>
      </c>
      <c r="W28" s="39">
        <f t="shared" si="5"/>
        <v>1.031021897810219</v>
      </c>
      <c r="X28" s="41"/>
      <c r="Y28" s="41"/>
      <c r="Z28" s="41"/>
      <c r="AA28" s="41"/>
      <c r="AB28" s="41"/>
      <c r="AC28" s="36"/>
      <c r="AD28" s="36"/>
      <c r="AE28" s="36"/>
      <c r="AF28" s="42"/>
      <c r="AG28" s="43">
        <f t="shared" si="6"/>
        <v>0</v>
      </c>
      <c r="AH28" s="41"/>
      <c r="AI28" s="41"/>
      <c r="AJ28" s="41"/>
      <c r="AK28" s="41"/>
      <c r="AL28" s="41"/>
      <c r="AM28" s="36"/>
      <c r="AN28" s="36"/>
      <c r="AO28" s="36"/>
      <c r="AP28" s="42"/>
      <c r="AQ28" s="43">
        <f t="shared" si="9"/>
        <v>0</v>
      </c>
      <c r="AR28" s="44">
        <v>0.22</v>
      </c>
      <c r="AS28" s="41">
        <v>0.15</v>
      </c>
      <c r="AT28" s="41" t="s">
        <v>100</v>
      </c>
      <c r="AU28" s="41">
        <v>7.0000000000000007E-2</v>
      </c>
      <c r="AV28" s="41">
        <v>0.16</v>
      </c>
      <c r="AW28" s="41" t="s">
        <v>100</v>
      </c>
      <c r="AX28" s="41">
        <v>0.24</v>
      </c>
      <c r="AY28" s="41">
        <v>0.1</v>
      </c>
      <c r="AZ28" s="41">
        <v>73.8</v>
      </c>
      <c r="BA28" s="41" t="s">
        <v>86</v>
      </c>
      <c r="BB28" s="36">
        <v>717</v>
      </c>
      <c r="BC28" s="36">
        <v>80</v>
      </c>
      <c r="BD28" s="36">
        <v>86</v>
      </c>
      <c r="BE28" s="36">
        <v>0.18</v>
      </c>
      <c r="BF28" s="36">
        <v>0.1</v>
      </c>
      <c r="BG28" s="36"/>
      <c r="BH28" s="36"/>
      <c r="BI28" s="36"/>
      <c r="BJ28" s="36"/>
      <c r="BK28" s="36">
        <v>0.3</v>
      </c>
      <c r="BL28" s="45">
        <v>3.4</v>
      </c>
      <c r="BM28" s="36">
        <v>2.02</v>
      </c>
      <c r="BN28" s="36">
        <v>3.48</v>
      </c>
      <c r="BO28" s="63">
        <v>106</v>
      </c>
      <c r="BP28" s="98">
        <v>65</v>
      </c>
      <c r="BQ28" s="43">
        <f t="shared" si="7"/>
        <v>1.7227722772277227</v>
      </c>
      <c r="BR28" s="47">
        <f t="shared" si="8"/>
        <v>0.97701149425287359</v>
      </c>
      <c r="BS28" s="45">
        <v>1.6</v>
      </c>
      <c r="BT28" s="41">
        <v>4.18</v>
      </c>
      <c r="BU28" s="41" t="s">
        <v>100</v>
      </c>
      <c r="BV28" s="41"/>
      <c r="BW28" s="41"/>
      <c r="BX28" s="41"/>
      <c r="BY28" s="41"/>
      <c r="BZ28" s="41">
        <v>24.2</v>
      </c>
      <c r="CA28" s="41">
        <v>23.5</v>
      </c>
      <c r="CB28" s="41"/>
      <c r="CC28" s="41">
        <v>0.24</v>
      </c>
      <c r="CD28" s="36">
        <v>0.14000000000000001</v>
      </c>
      <c r="CE28" s="36">
        <v>2.5</v>
      </c>
      <c r="CF28" s="36">
        <v>2.48</v>
      </c>
      <c r="CG28" s="36">
        <v>2.54</v>
      </c>
      <c r="CH28" s="36" t="s">
        <v>100</v>
      </c>
      <c r="CI28" s="36" t="s">
        <v>100</v>
      </c>
      <c r="CJ28" s="143" t="s">
        <v>100</v>
      </c>
      <c r="CK28" s="238" t="s">
        <v>564</v>
      </c>
      <c r="CL28" s="239"/>
      <c r="CM28" s="36" t="s">
        <v>565</v>
      </c>
      <c r="CN28" s="36" t="s">
        <v>418</v>
      </c>
      <c r="CO28" s="36">
        <v>0.04</v>
      </c>
      <c r="CP28" s="36">
        <v>1.0999999999999999E-2</v>
      </c>
      <c r="CQ28" s="36"/>
      <c r="CR28" s="36"/>
      <c r="CS28" s="36"/>
      <c r="CT28" s="36"/>
      <c r="CU28" s="36">
        <v>2.9</v>
      </c>
      <c r="CV28" s="61">
        <v>144</v>
      </c>
      <c r="CW28" s="41"/>
      <c r="CX28" s="66"/>
      <c r="CY28" s="66"/>
      <c r="CZ28" s="66"/>
      <c r="DA28" s="66"/>
      <c r="DB28" s="66"/>
      <c r="DC28" s="36"/>
      <c r="DD28" s="36"/>
      <c r="DE28" s="36"/>
      <c r="DF28" s="36"/>
      <c r="DG28" s="36"/>
      <c r="DH28" s="61">
        <v>2040</v>
      </c>
      <c r="DI28" s="36">
        <v>1700</v>
      </c>
      <c r="DJ28" s="36">
        <v>3740</v>
      </c>
      <c r="DK28" s="36">
        <v>2652</v>
      </c>
      <c r="DL28" s="36" t="s">
        <v>86</v>
      </c>
      <c r="DM28" s="36"/>
      <c r="DN28" s="36"/>
      <c r="DO28" s="36"/>
      <c r="DP28" s="36"/>
      <c r="DQ28" s="36"/>
      <c r="DR28" s="36"/>
      <c r="DS28" s="36"/>
      <c r="DT28" s="36"/>
      <c r="DU28" s="36"/>
    </row>
    <row r="29" spans="1:125" s="48" customFormat="1" ht="16.5" customHeight="1" x14ac:dyDescent="0.3">
      <c r="A29" s="34">
        <v>46274</v>
      </c>
      <c r="B29" s="74" t="s">
        <v>85</v>
      </c>
      <c r="C29" s="36">
        <v>2.62</v>
      </c>
      <c r="D29" s="36">
        <v>4.09</v>
      </c>
      <c r="E29" s="36">
        <v>0.74</v>
      </c>
      <c r="F29" s="36">
        <v>1.23</v>
      </c>
      <c r="G29" s="36">
        <v>2.5</v>
      </c>
      <c r="H29" s="36">
        <v>3.8</v>
      </c>
      <c r="I29" s="36">
        <v>2.62</v>
      </c>
      <c r="J29" s="36">
        <v>2.31</v>
      </c>
      <c r="K29" s="37">
        <f t="shared" si="0"/>
        <v>4.93</v>
      </c>
      <c r="L29" s="37">
        <v>5.66</v>
      </c>
      <c r="M29" s="36">
        <v>3.35</v>
      </c>
      <c r="N29" s="36">
        <v>3.73</v>
      </c>
      <c r="O29" s="36">
        <v>2.2200000000000002</v>
      </c>
      <c r="P29" s="37">
        <f t="shared" si="1"/>
        <v>5.95</v>
      </c>
      <c r="Q29" s="36">
        <v>5.5</v>
      </c>
      <c r="R29" s="36">
        <v>3.28</v>
      </c>
      <c r="S29" s="38">
        <f t="shared" si="2"/>
        <v>3.5405405405405408</v>
      </c>
      <c r="T29" s="38">
        <f t="shared" si="3"/>
        <v>1.1371951219512195</v>
      </c>
      <c r="U29" s="38">
        <f t="shared" si="10"/>
        <v>1.4502164502164503</v>
      </c>
      <c r="V29" s="39">
        <f t="shared" si="4"/>
        <v>0.56488549618320605</v>
      </c>
      <c r="W29" s="39">
        <f t="shared" si="5"/>
        <v>1.0818181818181818</v>
      </c>
      <c r="X29" s="41">
        <v>2.92</v>
      </c>
      <c r="Y29" s="41">
        <v>2.9</v>
      </c>
      <c r="Z29" s="41">
        <v>3</v>
      </c>
      <c r="AA29" s="41">
        <v>2.96</v>
      </c>
      <c r="AB29" s="41">
        <v>2.8</v>
      </c>
      <c r="AC29" s="36">
        <v>2.7</v>
      </c>
      <c r="AD29" s="36" t="s">
        <v>104</v>
      </c>
      <c r="AE29" s="36">
        <v>2.92</v>
      </c>
      <c r="AF29" s="42">
        <v>2.91</v>
      </c>
      <c r="AG29" s="43">
        <f t="shared" si="6"/>
        <v>55.725190839694648</v>
      </c>
      <c r="AH29" s="41">
        <v>2.36</v>
      </c>
      <c r="AI29" s="41">
        <v>2.2599999999999998</v>
      </c>
      <c r="AJ29" s="41" t="s">
        <v>104</v>
      </c>
      <c r="AK29" s="41">
        <v>2.36</v>
      </c>
      <c r="AL29" s="41">
        <v>2.4</v>
      </c>
      <c r="AM29" s="36" t="s">
        <v>104</v>
      </c>
      <c r="AN29" s="36">
        <v>2.16</v>
      </c>
      <c r="AO29" s="36">
        <v>2.2999999999999998</v>
      </c>
      <c r="AP29" s="42">
        <v>2.33</v>
      </c>
      <c r="AQ29" s="43">
        <f t="shared" si="9"/>
        <v>44.274809160305345</v>
      </c>
      <c r="AR29" s="44">
        <v>0.13</v>
      </c>
      <c r="AS29" s="41" t="s">
        <v>104</v>
      </c>
      <c r="AT29" s="41" t="s">
        <v>104</v>
      </c>
      <c r="AU29" s="41">
        <v>0.04</v>
      </c>
      <c r="AV29" s="41">
        <v>0.1</v>
      </c>
      <c r="AW29" s="41" t="s">
        <v>104</v>
      </c>
      <c r="AX29" s="41">
        <v>0.14000000000000001</v>
      </c>
      <c r="AY29" s="41">
        <v>7.0000000000000007E-2</v>
      </c>
      <c r="AZ29" s="41">
        <v>71.3</v>
      </c>
      <c r="BA29" s="41" t="s">
        <v>86</v>
      </c>
      <c r="BB29" s="36">
        <v>740</v>
      </c>
      <c r="BC29" s="36">
        <v>142</v>
      </c>
      <c r="BD29" s="36">
        <v>100</v>
      </c>
      <c r="BE29" s="36">
        <v>0.21</v>
      </c>
      <c r="BF29" s="36">
        <v>0.1</v>
      </c>
      <c r="BG29" s="36"/>
      <c r="BH29" s="36"/>
      <c r="BI29" s="36"/>
      <c r="BJ29" s="36"/>
      <c r="BK29" s="36">
        <v>0.25</v>
      </c>
      <c r="BL29" s="45">
        <v>3.66</v>
      </c>
      <c r="BM29" s="36">
        <v>2.16</v>
      </c>
      <c r="BN29" s="36">
        <v>3.4</v>
      </c>
      <c r="BO29" s="63">
        <v>98</v>
      </c>
      <c r="BP29" s="98">
        <v>60</v>
      </c>
      <c r="BQ29" s="43">
        <f t="shared" si="7"/>
        <v>1.574074074074074</v>
      </c>
      <c r="BR29" s="47">
        <f t="shared" si="8"/>
        <v>1.0764705882352943</v>
      </c>
      <c r="BS29" s="45">
        <v>1.7</v>
      </c>
      <c r="BT29" s="41">
        <v>4.22</v>
      </c>
      <c r="BU29" s="41">
        <v>1.24</v>
      </c>
      <c r="BV29" s="41"/>
      <c r="BW29" s="41"/>
      <c r="BX29" s="41"/>
      <c r="BY29" s="41"/>
      <c r="BZ29" s="41">
        <v>22.2</v>
      </c>
      <c r="CA29" s="41">
        <v>22.7</v>
      </c>
      <c r="CB29" s="41"/>
      <c r="CC29" s="41">
        <v>0.25</v>
      </c>
      <c r="CD29" s="36">
        <v>0.1</v>
      </c>
      <c r="CE29" s="36">
        <v>2.34</v>
      </c>
      <c r="CF29" s="36">
        <v>2.4</v>
      </c>
      <c r="CG29" s="36">
        <v>2.38</v>
      </c>
      <c r="CH29" s="36" t="s">
        <v>104</v>
      </c>
      <c r="CI29" s="36" t="s">
        <v>104</v>
      </c>
      <c r="CJ29" s="144" t="s">
        <v>104</v>
      </c>
      <c r="CK29" s="238" t="s">
        <v>567</v>
      </c>
      <c r="CL29" s="239"/>
      <c r="CM29" s="36" t="s">
        <v>108</v>
      </c>
      <c r="CN29" s="36" t="s">
        <v>568</v>
      </c>
      <c r="CO29" s="36">
        <v>3.9E-2</v>
      </c>
      <c r="CP29" s="36">
        <v>0.01</v>
      </c>
      <c r="CQ29" s="36">
        <v>2.6</v>
      </c>
      <c r="CR29" s="36">
        <v>30.3</v>
      </c>
      <c r="CS29" s="36">
        <v>7.4</v>
      </c>
      <c r="CT29" s="36">
        <v>443</v>
      </c>
      <c r="CU29" s="36">
        <v>4.8</v>
      </c>
      <c r="CV29" s="61">
        <v>93.3</v>
      </c>
      <c r="CW29" s="41">
        <v>1188</v>
      </c>
      <c r="CX29" s="66">
        <v>1.6</v>
      </c>
      <c r="CY29" s="66" t="s">
        <v>104</v>
      </c>
      <c r="CZ29" s="66">
        <v>0.44</v>
      </c>
      <c r="DA29" s="66">
        <v>0.72</v>
      </c>
      <c r="DB29" s="66">
        <v>0.28000000000000003</v>
      </c>
      <c r="DC29" s="36">
        <v>0.9</v>
      </c>
      <c r="DD29" s="36">
        <v>37.1</v>
      </c>
      <c r="DE29" s="36" t="s">
        <v>104</v>
      </c>
      <c r="DF29" s="36">
        <v>0.01</v>
      </c>
      <c r="DG29" s="36">
        <v>0.01</v>
      </c>
      <c r="DH29" s="61" t="s">
        <v>104</v>
      </c>
      <c r="DI29" s="36" t="s">
        <v>104</v>
      </c>
      <c r="DJ29" s="36">
        <v>4898</v>
      </c>
      <c r="DK29" s="36">
        <v>3400</v>
      </c>
      <c r="DL29" s="36" t="s">
        <v>86</v>
      </c>
      <c r="DM29" s="36"/>
      <c r="DN29" s="36"/>
      <c r="DO29" s="36"/>
      <c r="DP29" s="36"/>
      <c r="DQ29" s="36"/>
      <c r="DR29" s="36"/>
      <c r="DS29" s="36"/>
      <c r="DT29" s="36"/>
      <c r="DU29" s="36"/>
    </row>
    <row r="30" spans="1:125" s="48" customFormat="1" ht="16.5" customHeight="1" x14ac:dyDescent="0.3">
      <c r="A30" s="34"/>
      <c r="B30" s="74" t="s">
        <v>102</v>
      </c>
      <c r="C30" s="36">
        <v>2.87</v>
      </c>
      <c r="D30" s="36">
        <v>3.88</v>
      </c>
      <c r="E30" s="36">
        <v>0.86</v>
      </c>
      <c r="F30" s="36">
        <v>1.38</v>
      </c>
      <c r="G30" s="36">
        <v>2.7</v>
      </c>
      <c r="H30" s="36">
        <v>3.58</v>
      </c>
      <c r="I30" s="36">
        <v>2.5299999999999998</v>
      </c>
      <c r="J30" s="36">
        <v>2.2999999999999998</v>
      </c>
      <c r="K30" s="37">
        <f t="shared" si="0"/>
        <v>4.83</v>
      </c>
      <c r="L30" s="37">
        <v>5.66</v>
      </c>
      <c r="M30" s="36">
        <v>3.36</v>
      </c>
      <c r="N30" s="36">
        <v>3.55</v>
      </c>
      <c r="O30" s="36">
        <v>2.2200000000000002</v>
      </c>
      <c r="P30" s="37">
        <f t="shared" si="1"/>
        <v>5.77</v>
      </c>
      <c r="Q30" s="36">
        <v>5.46</v>
      </c>
      <c r="R30" s="36">
        <v>3.24</v>
      </c>
      <c r="S30" s="38">
        <f t="shared" si="2"/>
        <v>3.3372093023255816</v>
      </c>
      <c r="T30" s="38">
        <f t="shared" si="3"/>
        <v>1.095679012345679</v>
      </c>
      <c r="U30" s="38">
        <f t="shared" si="10"/>
        <v>1.4608695652173913</v>
      </c>
      <c r="V30" s="39">
        <f t="shared" si="4"/>
        <v>0.5993031358885017</v>
      </c>
      <c r="W30" s="39">
        <f t="shared" si="5"/>
        <v>1.0567765567765568</v>
      </c>
      <c r="X30" s="41">
        <v>2.9</v>
      </c>
      <c r="Y30" s="41">
        <v>2.9</v>
      </c>
      <c r="Z30" s="41">
        <v>3</v>
      </c>
      <c r="AA30" s="41">
        <v>2.98</v>
      </c>
      <c r="AB30" s="41">
        <v>2.92</v>
      </c>
      <c r="AC30" s="36">
        <v>2.6</v>
      </c>
      <c r="AD30" s="36">
        <v>2.62</v>
      </c>
      <c r="AE30" s="36" t="s">
        <v>104</v>
      </c>
      <c r="AF30" s="42">
        <f>AVERAGE(X30:AE30)</f>
        <v>2.8457142857142861</v>
      </c>
      <c r="AG30" s="43">
        <f t="shared" si="6"/>
        <v>60.017969451931705</v>
      </c>
      <c r="AH30" s="41">
        <v>2.1800000000000002</v>
      </c>
      <c r="AI30" s="41">
        <v>2.2599999999999998</v>
      </c>
      <c r="AJ30" s="41" t="s">
        <v>104</v>
      </c>
      <c r="AK30" s="41">
        <v>2.2200000000000002</v>
      </c>
      <c r="AL30" s="41">
        <v>2.12</v>
      </c>
      <c r="AM30" s="36" t="s">
        <v>104</v>
      </c>
      <c r="AN30" s="36">
        <v>2.16</v>
      </c>
      <c r="AO30" s="36">
        <v>2.3199999999999998</v>
      </c>
      <c r="AP30" s="42">
        <f>AVERAGE(AH30:AO30)</f>
        <v>2.2100000000000004</v>
      </c>
      <c r="AQ30" s="43">
        <f t="shared" si="9"/>
        <v>39.982030548068295</v>
      </c>
      <c r="AR30" s="44">
        <v>0.19</v>
      </c>
      <c r="AS30" s="41">
        <v>0.05</v>
      </c>
      <c r="AT30" s="41" t="s">
        <v>104</v>
      </c>
      <c r="AU30" s="41">
        <v>0.46</v>
      </c>
      <c r="AV30" s="41">
        <v>0.18</v>
      </c>
      <c r="AW30" s="41" t="s">
        <v>104</v>
      </c>
      <c r="AX30" s="41">
        <v>0.63</v>
      </c>
      <c r="AY30" s="41" t="s">
        <v>104</v>
      </c>
      <c r="AZ30" s="41">
        <v>77.5</v>
      </c>
      <c r="BA30" s="41" t="s">
        <v>86</v>
      </c>
      <c r="BB30" s="36">
        <v>810</v>
      </c>
      <c r="BC30" s="36">
        <v>98</v>
      </c>
      <c r="BD30" s="36">
        <v>90</v>
      </c>
      <c r="BE30" s="36">
        <v>0.22</v>
      </c>
      <c r="BF30" s="36">
        <v>0.09</v>
      </c>
      <c r="BG30" s="36"/>
      <c r="BH30" s="36"/>
      <c r="BI30" s="36"/>
      <c r="BJ30" s="36"/>
      <c r="BK30" s="36">
        <v>0.28999999999999998</v>
      </c>
      <c r="BL30" s="45">
        <v>3.66</v>
      </c>
      <c r="BM30" s="36">
        <v>2.1</v>
      </c>
      <c r="BN30" s="36">
        <v>3.42</v>
      </c>
      <c r="BO30" s="63">
        <v>64</v>
      </c>
      <c r="BP30" s="98">
        <v>72</v>
      </c>
      <c r="BQ30" s="43">
        <f t="shared" si="7"/>
        <v>1.6285714285714286</v>
      </c>
      <c r="BR30" s="47">
        <f t="shared" si="8"/>
        <v>1.0701754385964912</v>
      </c>
      <c r="BS30" s="45">
        <v>1.72</v>
      </c>
      <c r="BT30" s="41">
        <v>3.97</v>
      </c>
      <c r="BU30" s="41">
        <v>1.34</v>
      </c>
      <c r="BV30" s="41"/>
      <c r="BW30" s="41"/>
      <c r="BX30" s="41"/>
      <c r="BY30" s="41"/>
      <c r="BZ30" s="41"/>
      <c r="CA30" s="41"/>
      <c r="CB30" s="41"/>
      <c r="CC30" s="41">
        <v>0.32</v>
      </c>
      <c r="CD30" s="36">
        <v>-0.06</v>
      </c>
      <c r="CE30" s="36" t="s">
        <v>104</v>
      </c>
      <c r="CF30" s="36">
        <v>2.16</v>
      </c>
      <c r="CG30" s="36">
        <v>2.48</v>
      </c>
      <c r="CH30" s="36">
        <v>2.46</v>
      </c>
      <c r="CI30" s="36" t="s">
        <v>104</v>
      </c>
      <c r="CJ30" s="145" t="s">
        <v>104</v>
      </c>
      <c r="CK30" s="238" t="s">
        <v>569</v>
      </c>
      <c r="CL30" s="239"/>
      <c r="CM30" s="36" t="s">
        <v>114</v>
      </c>
      <c r="CN30" s="36" t="s">
        <v>570</v>
      </c>
      <c r="CO30" s="36">
        <v>3.7999999999999999E-2</v>
      </c>
      <c r="CP30" s="36">
        <v>0.01</v>
      </c>
      <c r="CQ30" s="36"/>
      <c r="CR30" s="36"/>
      <c r="CS30" s="36"/>
      <c r="CT30" s="36"/>
      <c r="CU30" s="36">
        <v>5.6</v>
      </c>
      <c r="CV30" s="61">
        <v>63.6</v>
      </c>
      <c r="CW30" s="41"/>
      <c r="CX30" s="66"/>
      <c r="CY30" s="66"/>
      <c r="CZ30" s="66"/>
      <c r="DA30" s="66"/>
      <c r="DB30" s="66"/>
      <c r="DC30" s="36"/>
      <c r="DD30" s="36"/>
      <c r="DE30" s="36"/>
      <c r="DF30" s="36"/>
      <c r="DG30" s="36"/>
      <c r="DH30" s="61">
        <v>7344</v>
      </c>
      <c r="DI30" s="36">
        <v>4624</v>
      </c>
      <c r="DJ30" s="36">
        <v>6256</v>
      </c>
      <c r="DK30" s="36">
        <v>3060</v>
      </c>
      <c r="DL30" s="36" t="s">
        <v>86</v>
      </c>
      <c r="DM30" s="36"/>
      <c r="DN30" s="36">
        <v>2.5</v>
      </c>
      <c r="DO30" s="36">
        <v>30.6</v>
      </c>
      <c r="DP30" s="36">
        <v>20.399999999999999</v>
      </c>
      <c r="DQ30" s="36">
        <v>24.2</v>
      </c>
      <c r="DR30" s="36">
        <v>22.3</v>
      </c>
      <c r="DS30" s="36">
        <v>229</v>
      </c>
      <c r="DT30" s="36"/>
      <c r="DU30" s="36"/>
    </row>
    <row r="31" spans="1:125" s="48" customFormat="1" ht="16.5" customHeight="1" x14ac:dyDescent="0.3">
      <c r="A31" s="34"/>
      <c r="B31" s="74" t="s">
        <v>103</v>
      </c>
      <c r="C31" s="36">
        <v>2.37</v>
      </c>
      <c r="D31" s="36">
        <v>4.0199999999999996</v>
      </c>
      <c r="E31" s="36">
        <v>0.79</v>
      </c>
      <c r="F31" s="36">
        <v>1.23</v>
      </c>
      <c r="G31" s="36">
        <v>2.7</v>
      </c>
      <c r="H31" s="36">
        <v>3.58</v>
      </c>
      <c r="I31" s="36">
        <v>2.56</v>
      </c>
      <c r="J31" s="36">
        <v>2.2999999999999998</v>
      </c>
      <c r="K31" s="37">
        <f t="shared" si="0"/>
        <v>4.8599999999999994</v>
      </c>
      <c r="L31" s="37">
        <v>5.68</v>
      </c>
      <c r="M31" s="36">
        <v>3.38</v>
      </c>
      <c r="N31" s="36">
        <v>3.65</v>
      </c>
      <c r="O31" s="36">
        <v>2.23</v>
      </c>
      <c r="P31" s="37">
        <f t="shared" si="1"/>
        <v>5.88</v>
      </c>
      <c r="Q31" s="36">
        <v>5.51</v>
      </c>
      <c r="R31" s="36">
        <v>3.28</v>
      </c>
      <c r="S31" s="38">
        <f t="shared" si="2"/>
        <v>3</v>
      </c>
      <c r="T31" s="38">
        <f t="shared" si="3"/>
        <v>1.1128048780487805</v>
      </c>
      <c r="U31" s="38">
        <f t="shared" si="10"/>
        <v>1.4695652173913045</v>
      </c>
      <c r="V31" s="39">
        <f t="shared" si="4"/>
        <v>0.66666666666666663</v>
      </c>
      <c r="W31" s="39">
        <f t="shared" si="5"/>
        <v>1.0671506352087115</v>
      </c>
      <c r="X31" s="41"/>
      <c r="Y31" s="41"/>
      <c r="Z31" s="41"/>
      <c r="AA31" s="41"/>
      <c r="AB31" s="41"/>
      <c r="AC31" s="36"/>
      <c r="AD31" s="36"/>
      <c r="AE31" s="36"/>
      <c r="AF31" s="42"/>
      <c r="AG31" s="43">
        <f t="shared" si="6"/>
        <v>0</v>
      </c>
      <c r="AH31" s="41"/>
      <c r="AI31" s="41"/>
      <c r="AJ31" s="41"/>
      <c r="AK31" s="41"/>
      <c r="AL31" s="41"/>
      <c r="AM31" s="36"/>
      <c r="AN31" s="36"/>
      <c r="AO31" s="36"/>
      <c r="AP31" s="42"/>
      <c r="AQ31" s="43">
        <f t="shared" si="9"/>
        <v>0</v>
      </c>
      <c r="AR31" s="44">
        <v>0.13</v>
      </c>
      <c r="AS31" s="41">
        <v>0.18</v>
      </c>
      <c r="AT31" s="41" t="s">
        <v>100</v>
      </c>
      <c r="AU31" s="41">
        <v>0.05</v>
      </c>
      <c r="AV31" s="41">
        <v>0.2</v>
      </c>
      <c r="AW31" s="41" t="s">
        <v>100</v>
      </c>
      <c r="AX31" s="41">
        <v>0.33</v>
      </c>
      <c r="AY31" s="41">
        <v>0.17</v>
      </c>
      <c r="AZ31" s="41">
        <v>82.7</v>
      </c>
      <c r="BA31" s="41" t="s">
        <v>86</v>
      </c>
      <c r="BB31" s="36">
        <v>790</v>
      </c>
      <c r="BC31" s="36">
        <v>85</v>
      </c>
      <c r="BD31" s="36">
        <v>91</v>
      </c>
      <c r="BE31" s="36">
        <v>0.19</v>
      </c>
      <c r="BF31" s="36">
        <v>0.08</v>
      </c>
      <c r="BG31" s="36"/>
      <c r="BH31" s="36"/>
      <c r="BI31" s="36"/>
      <c r="BJ31" s="36"/>
      <c r="BK31" s="36">
        <v>0.28999999999999998</v>
      </c>
      <c r="BL31" s="45">
        <v>3.36</v>
      </c>
      <c r="BM31" s="36">
        <v>2.16</v>
      </c>
      <c r="BN31" s="36">
        <v>3.36</v>
      </c>
      <c r="BO31" s="63">
        <v>61</v>
      </c>
      <c r="BP31" s="98">
        <v>70</v>
      </c>
      <c r="BQ31" s="43">
        <f t="shared" si="7"/>
        <v>1.5555555555555554</v>
      </c>
      <c r="BR31" s="47">
        <f t="shared" si="8"/>
        <v>1</v>
      </c>
      <c r="BS31" s="45">
        <v>1.58</v>
      </c>
      <c r="BT31" s="41">
        <v>4.1399999999999997</v>
      </c>
      <c r="BU31" s="41" t="s">
        <v>100</v>
      </c>
      <c r="BV31" s="41"/>
      <c r="BW31" s="41"/>
      <c r="BX31" s="41"/>
      <c r="BY31" s="41"/>
      <c r="BZ31" s="41">
        <v>21.7</v>
      </c>
      <c r="CA31" s="41">
        <v>21.2</v>
      </c>
      <c r="CB31" s="41"/>
      <c r="CC31" s="41">
        <v>0.28999999999999998</v>
      </c>
      <c r="CD31" s="36">
        <v>0.3</v>
      </c>
      <c r="CE31" s="36" t="s">
        <v>100</v>
      </c>
      <c r="CF31" s="36">
        <v>2.2799999999999998</v>
      </c>
      <c r="CG31" s="36">
        <v>2.2799999999999998</v>
      </c>
      <c r="CH31" s="36">
        <v>2.4</v>
      </c>
      <c r="CI31" s="36" t="s">
        <v>100</v>
      </c>
      <c r="CJ31" s="146" t="s">
        <v>100</v>
      </c>
      <c r="CK31" s="238" t="s">
        <v>571</v>
      </c>
      <c r="CL31" s="239"/>
      <c r="CM31" s="36" t="s">
        <v>572</v>
      </c>
      <c r="CN31" s="36" t="s">
        <v>122</v>
      </c>
      <c r="CO31" s="36">
        <v>3.7999999999999999E-2</v>
      </c>
      <c r="CP31" s="36">
        <v>0.01</v>
      </c>
      <c r="CQ31" s="36"/>
      <c r="CR31" s="36"/>
      <c r="CS31" s="36"/>
      <c r="CT31" s="36"/>
      <c r="CU31" s="36">
        <v>3.7</v>
      </c>
      <c r="CV31" s="61">
        <v>54.1</v>
      </c>
      <c r="CW31" s="41"/>
      <c r="CX31" s="66"/>
      <c r="CY31" s="66"/>
      <c r="CZ31" s="66"/>
      <c r="DA31" s="66"/>
      <c r="DB31" s="66"/>
      <c r="DC31" s="36"/>
      <c r="DD31" s="36"/>
      <c r="DE31" s="36"/>
      <c r="DF31" s="36"/>
      <c r="DG31" s="36"/>
      <c r="DH31" s="61" t="s">
        <v>100</v>
      </c>
      <c r="DI31" s="36" t="s">
        <v>100</v>
      </c>
      <c r="DJ31" s="36">
        <v>3332</v>
      </c>
      <c r="DK31" s="36">
        <v>1632</v>
      </c>
      <c r="DL31" s="36" t="s">
        <v>86</v>
      </c>
      <c r="DM31" s="36"/>
      <c r="DN31" s="36"/>
      <c r="DO31" s="36"/>
      <c r="DP31" s="36"/>
      <c r="DQ31" s="36"/>
      <c r="DR31" s="36"/>
      <c r="DS31" s="36"/>
      <c r="DT31" s="36"/>
      <c r="DU31" s="36"/>
    </row>
    <row r="32" spans="1:125" s="48" customFormat="1" ht="16.5" customHeight="1" x14ac:dyDescent="0.3">
      <c r="A32" s="34">
        <v>46275</v>
      </c>
      <c r="B32" s="74" t="s">
        <v>85</v>
      </c>
      <c r="C32" s="36">
        <v>2.65</v>
      </c>
      <c r="D32" s="36">
        <v>3.99</v>
      </c>
      <c r="E32" s="36">
        <v>0.73</v>
      </c>
      <c r="F32" s="36">
        <v>1.33</v>
      </c>
      <c r="G32" s="36">
        <v>2.42</v>
      </c>
      <c r="H32" s="36">
        <v>3.68</v>
      </c>
      <c r="I32" s="36">
        <v>2.5299999999999998</v>
      </c>
      <c r="J32" s="36">
        <v>2.2599999999999998</v>
      </c>
      <c r="K32" s="37">
        <f t="shared" si="0"/>
        <v>4.7899999999999991</v>
      </c>
      <c r="L32" s="37">
        <v>5.72</v>
      </c>
      <c r="M32" s="36">
        <v>3.46</v>
      </c>
      <c r="N32" s="36">
        <v>3.48</v>
      </c>
      <c r="O32" s="36">
        <v>2.16</v>
      </c>
      <c r="P32" s="37">
        <f t="shared" si="1"/>
        <v>5.6400000000000006</v>
      </c>
      <c r="Q32" s="36">
        <v>5.52</v>
      </c>
      <c r="R32" s="36">
        <v>3.36</v>
      </c>
      <c r="S32" s="38">
        <f t="shared" si="2"/>
        <v>3.6301369863013697</v>
      </c>
      <c r="T32" s="38">
        <f t="shared" si="3"/>
        <v>1.0357142857142858</v>
      </c>
      <c r="U32" s="38">
        <f t="shared" si="10"/>
        <v>1.5309734513274338</v>
      </c>
      <c r="V32" s="39">
        <f t="shared" si="4"/>
        <v>0.55094339622641508</v>
      </c>
      <c r="W32" s="39">
        <f t="shared" si="5"/>
        <v>1.0217391304347827</v>
      </c>
      <c r="X32" s="41">
        <v>2.84</v>
      </c>
      <c r="Y32" s="41">
        <v>2.8</v>
      </c>
      <c r="Z32" s="41">
        <v>3</v>
      </c>
      <c r="AA32" s="41">
        <v>2.94</v>
      </c>
      <c r="AB32" s="41">
        <v>2.8</v>
      </c>
      <c r="AC32" s="36" t="s">
        <v>100</v>
      </c>
      <c r="AD32" s="36">
        <v>2.82</v>
      </c>
      <c r="AE32" s="36">
        <v>2.84</v>
      </c>
      <c r="AF32" s="42">
        <v>2.89</v>
      </c>
      <c r="AG32" s="43">
        <f t="shared" si="6"/>
        <v>50.735294117647058</v>
      </c>
      <c r="AH32" s="41">
        <v>2.2599999999999998</v>
      </c>
      <c r="AI32" s="41">
        <v>2.2400000000000002</v>
      </c>
      <c r="AJ32" s="41" t="s">
        <v>100</v>
      </c>
      <c r="AK32" s="41">
        <v>2.2200000000000002</v>
      </c>
      <c r="AL32" s="41">
        <v>2.3199999999999998</v>
      </c>
      <c r="AM32" s="36" t="s">
        <v>100</v>
      </c>
      <c r="AN32" s="36">
        <v>2</v>
      </c>
      <c r="AO32" s="36">
        <v>2.16</v>
      </c>
      <c r="AP32" s="42">
        <v>2.2200000000000002</v>
      </c>
      <c r="AQ32" s="43">
        <f t="shared" si="9"/>
        <v>49.264705882352935</v>
      </c>
      <c r="AR32" s="44">
        <v>0.36</v>
      </c>
      <c r="AS32" s="41">
        <v>0.04</v>
      </c>
      <c r="AT32" s="41" t="s">
        <v>104</v>
      </c>
      <c r="AU32" s="41">
        <v>0.21</v>
      </c>
      <c r="AV32" s="41">
        <v>0.11</v>
      </c>
      <c r="AW32" s="41" t="s">
        <v>100</v>
      </c>
      <c r="AX32" s="41">
        <v>0.65</v>
      </c>
      <c r="AY32" s="41">
        <v>0.31</v>
      </c>
      <c r="AZ32" s="41">
        <v>77</v>
      </c>
      <c r="BA32" s="41" t="s">
        <v>86</v>
      </c>
      <c r="BB32" s="36">
        <v>720</v>
      </c>
      <c r="BC32" s="36">
        <v>94</v>
      </c>
      <c r="BD32" s="36">
        <v>98</v>
      </c>
      <c r="BE32" s="36">
        <v>0.23</v>
      </c>
      <c r="BF32" s="36">
        <v>0.11</v>
      </c>
      <c r="BG32" s="36"/>
      <c r="BH32" s="36"/>
      <c r="BI32" s="36"/>
      <c r="BJ32" s="36"/>
      <c r="BK32" s="36">
        <v>0.26</v>
      </c>
      <c r="BL32" s="45">
        <v>3.54</v>
      </c>
      <c r="BM32" s="36">
        <v>2.2000000000000002</v>
      </c>
      <c r="BN32" s="36">
        <v>3.32</v>
      </c>
      <c r="BO32" s="63">
        <v>72</v>
      </c>
      <c r="BP32" s="98">
        <v>67</v>
      </c>
      <c r="BQ32" s="43">
        <f t="shared" si="7"/>
        <v>1.5090909090909088</v>
      </c>
      <c r="BR32" s="47">
        <f t="shared" si="8"/>
        <v>1.066265060240964</v>
      </c>
      <c r="BS32" s="45">
        <v>1.64</v>
      </c>
      <c r="BT32" s="41">
        <v>4.1500000000000004</v>
      </c>
      <c r="BU32" s="41">
        <v>1.46</v>
      </c>
      <c r="BV32" s="41"/>
      <c r="BW32" s="41"/>
      <c r="BX32" s="41"/>
      <c r="BY32" s="41"/>
      <c r="BZ32" s="41">
        <v>24.6</v>
      </c>
      <c r="CA32" s="41">
        <v>24.3</v>
      </c>
      <c r="CB32" s="41"/>
      <c r="CC32" s="41">
        <v>0.22</v>
      </c>
      <c r="CD32" s="36">
        <v>0.02</v>
      </c>
      <c r="CE32" s="36" t="s">
        <v>100</v>
      </c>
      <c r="CF32" s="36">
        <v>2.16</v>
      </c>
      <c r="CG32" s="36">
        <v>2.2000000000000002</v>
      </c>
      <c r="CH32" s="36">
        <v>2.2000000000000002</v>
      </c>
      <c r="CI32" s="36" t="s">
        <v>100</v>
      </c>
      <c r="CJ32" s="147" t="s">
        <v>100</v>
      </c>
      <c r="CK32" s="238" t="s">
        <v>574</v>
      </c>
      <c r="CL32" s="239"/>
      <c r="CM32" s="36" t="s">
        <v>575</v>
      </c>
      <c r="CN32" s="36" t="s">
        <v>133</v>
      </c>
      <c r="CO32" s="36">
        <v>3.7999999999999999E-2</v>
      </c>
      <c r="CP32" s="36">
        <v>0.01</v>
      </c>
      <c r="CQ32" s="36">
        <v>2.6</v>
      </c>
      <c r="CR32" s="36">
        <v>11.3</v>
      </c>
      <c r="CS32" s="36">
        <v>5.3</v>
      </c>
      <c r="CT32" s="36">
        <v>355</v>
      </c>
      <c r="CU32" s="36">
        <v>19.3</v>
      </c>
      <c r="CV32" s="61">
        <v>37.1</v>
      </c>
      <c r="CW32" s="41">
        <v>390</v>
      </c>
      <c r="CX32" s="66">
        <v>1.8</v>
      </c>
      <c r="CY32" s="66" t="s">
        <v>100</v>
      </c>
      <c r="CZ32" s="66">
        <v>0.9</v>
      </c>
      <c r="DA32" s="66">
        <v>1.2</v>
      </c>
      <c r="DB32" s="66">
        <v>0.3</v>
      </c>
      <c r="DC32" s="36">
        <v>0.5</v>
      </c>
      <c r="DD32" s="36">
        <v>13.8</v>
      </c>
      <c r="DE32" s="36" t="s">
        <v>100</v>
      </c>
      <c r="DF32" s="36">
        <v>0.01</v>
      </c>
      <c r="DG32" s="36">
        <v>0.01</v>
      </c>
      <c r="DH32" s="61">
        <v>7140</v>
      </c>
      <c r="DI32" s="36">
        <v>1836</v>
      </c>
      <c r="DJ32" s="36">
        <v>5576</v>
      </c>
      <c r="DK32" s="36">
        <v>5100</v>
      </c>
      <c r="DL32" s="36" t="s">
        <v>86</v>
      </c>
      <c r="DM32" s="36"/>
      <c r="DN32" s="36"/>
      <c r="DO32" s="36"/>
      <c r="DP32" s="36"/>
      <c r="DQ32" s="36"/>
      <c r="DR32" s="36"/>
      <c r="DS32" s="36"/>
      <c r="DT32" s="36"/>
      <c r="DU32" s="36"/>
    </row>
    <row r="33" spans="1:212" s="48" customFormat="1" ht="16.5" customHeight="1" x14ac:dyDescent="0.3">
      <c r="A33" s="34"/>
      <c r="B33" s="74" t="s">
        <v>102</v>
      </c>
      <c r="C33" s="36">
        <v>2.6</v>
      </c>
      <c r="D33" s="36">
        <v>4.05</v>
      </c>
      <c r="E33" s="36">
        <v>0.8</v>
      </c>
      <c r="F33" s="36">
        <v>1.35</v>
      </c>
      <c r="G33" s="36">
        <v>2.62</v>
      </c>
      <c r="H33" s="36">
        <v>3.88</v>
      </c>
      <c r="I33" s="36">
        <v>2.4900000000000002</v>
      </c>
      <c r="J33" s="36">
        <v>2.2999999999999998</v>
      </c>
      <c r="K33" s="37">
        <f t="shared" si="0"/>
        <v>4.79</v>
      </c>
      <c r="L33" s="37">
        <v>5.68</v>
      </c>
      <c r="M33" s="36">
        <v>3.38</v>
      </c>
      <c r="N33" s="36">
        <v>3.54</v>
      </c>
      <c r="O33" s="36">
        <v>2.2200000000000002</v>
      </c>
      <c r="P33" s="37">
        <f t="shared" si="1"/>
        <v>5.76</v>
      </c>
      <c r="Q33" s="36">
        <v>5.53</v>
      </c>
      <c r="R33" s="36">
        <v>3.31</v>
      </c>
      <c r="S33" s="38">
        <f t="shared" si="2"/>
        <v>3.25</v>
      </c>
      <c r="T33" s="38">
        <f t="shared" si="3"/>
        <v>1.0694864048338368</v>
      </c>
      <c r="U33" s="38">
        <f t="shared" si="10"/>
        <v>1.4695652173913045</v>
      </c>
      <c r="V33" s="39">
        <f t="shared" si="4"/>
        <v>0.61538461538461542</v>
      </c>
      <c r="W33" s="39">
        <f t="shared" si="5"/>
        <v>1.0415913200723326</v>
      </c>
      <c r="X33" s="41">
        <v>2.9</v>
      </c>
      <c r="Y33" s="41">
        <v>2.86</v>
      </c>
      <c r="Z33" s="41">
        <v>3.1</v>
      </c>
      <c r="AA33" s="41">
        <v>2.88</v>
      </c>
      <c r="AB33" s="41">
        <v>2.78</v>
      </c>
      <c r="AC33" s="36">
        <v>3.02</v>
      </c>
      <c r="AD33" s="36">
        <v>2.9</v>
      </c>
      <c r="AE33" s="36">
        <v>2.84</v>
      </c>
      <c r="AF33" s="42">
        <v>2.9</v>
      </c>
      <c r="AG33" s="43">
        <f t="shared" si="6"/>
        <v>54.929577464788736</v>
      </c>
      <c r="AH33" s="41">
        <v>2.3199999999999998</v>
      </c>
      <c r="AI33" s="41">
        <v>2.2999999999999998</v>
      </c>
      <c r="AJ33" s="41"/>
      <c r="AK33" s="41">
        <v>2.2000000000000002</v>
      </c>
      <c r="AL33" s="41">
        <v>2.36</v>
      </c>
      <c r="AM33" s="36"/>
      <c r="AN33" s="36">
        <v>2.2000000000000002</v>
      </c>
      <c r="AO33" s="36">
        <v>2.2599999999999998</v>
      </c>
      <c r="AP33" s="42">
        <v>2.2599999999999998</v>
      </c>
      <c r="AQ33" s="43">
        <f t="shared" si="9"/>
        <v>45.070422535211264</v>
      </c>
      <c r="AR33" s="44">
        <v>0.15</v>
      </c>
      <c r="AS33" s="41">
        <v>0.16</v>
      </c>
      <c r="AT33" s="41" t="s">
        <v>104</v>
      </c>
      <c r="AU33" s="41">
        <v>0.28999999999999998</v>
      </c>
      <c r="AV33" s="41">
        <v>0.02</v>
      </c>
      <c r="AW33" s="41" t="s">
        <v>104</v>
      </c>
      <c r="AX33" s="41">
        <v>0.06</v>
      </c>
      <c r="AY33" s="41">
        <v>0.04</v>
      </c>
      <c r="AZ33" s="41">
        <v>82.2</v>
      </c>
      <c r="BA33" s="41" t="s">
        <v>86</v>
      </c>
      <c r="BB33" s="36">
        <v>725</v>
      </c>
      <c r="BC33" s="36">
        <v>100</v>
      </c>
      <c r="BD33" s="36">
        <v>113</v>
      </c>
      <c r="BE33" s="36">
        <v>0.22</v>
      </c>
      <c r="BF33" s="36">
        <v>0.15</v>
      </c>
      <c r="BG33" s="36"/>
      <c r="BH33" s="36"/>
      <c r="BI33" s="36"/>
      <c r="BJ33" s="36"/>
      <c r="BK33" s="36">
        <v>0.3</v>
      </c>
      <c r="BL33" s="45">
        <v>3.5</v>
      </c>
      <c r="BM33" s="36">
        <v>2.2000000000000002</v>
      </c>
      <c r="BN33" s="36">
        <v>3.4</v>
      </c>
      <c r="BO33" s="63">
        <v>89</v>
      </c>
      <c r="BP33" s="98">
        <v>71</v>
      </c>
      <c r="BQ33" s="43">
        <f t="shared" si="7"/>
        <v>1.5454545454545452</v>
      </c>
      <c r="BR33" s="47">
        <f t="shared" si="8"/>
        <v>1.0294117647058825</v>
      </c>
      <c r="BS33" s="45">
        <v>1.68</v>
      </c>
      <c r="BT33" s="41">
        <v>4.08</v>
      </c>
      <c r="BU33" s="41">
        <v>1.46</v>
      </c>
      <c r="BV33" s="41"/>
      <c r="BW33" s="41"/>
      <c r="BX33" s="41">
        <v>22.7</v>
      </c>
      <c r="BY33" s="41">
        <v>23.7</v>
      </c>
      <c r="BZ33" s="41"/>
      <c r="CA33" s="41"/>
      <c r="CB33" s="41"/>
      <c r="CC33" s="41">
        <v>0.28000000000000003</v>
      </c>
      <c r="CD33" s="36">
        <v>-0.02</v>
      </c>
      <c r="CE33" s="36" t="s">
        <v>104</v>
      </c>
      <c r="CF33" s="36" t="s">
        <v>104</v>
      </c>
      <c r="CG33" s="36">
        <v>2.38</v>
      </c>
      <c r="CH33" s="36">
        <v>2.36</v>
      </c>
      <c r="CI33" s="36" t="s">
        <v>104</v>
      </c>
      <c r="CJ33" s="148">
        <v>2.34</v>
      </c>
      <c r="CK33" s="238" t="s">
        <v>576</v>
      </c>
      <c r="CL33" s="239"/>
      <c r="CM33" s="36" t="s">
        <v>318</v>
      </c>
      <c r="CN33" s="36" t="s">
        <v>577</v>
      </c>
      <c r="CO33" s="36">
        <v>3.7999999999999999E-2</v>
      </c>
      <c r="CP33" s="36">
        <v>0.01</v>
      </c>
      <c r="CQ33" s="36"/>
      <c r="CR33" s="36"/>
      <c r="CS33" s="36"/>
      <c r="CT33" s="36"/>
      <c r="CU33" s="36">
        <v>3.7</v>
      </c>
      <c r="CV33" s="61">
        <v>74.7</v>
      </c>
      <c r="CW33" s="41"/>
      <c r="CX33" s="66"/>
      <c r="CY33" s="66"/>
      <c r="CZ33" s="66"/>
      <c r="DA33" s="66"/>
      <c r="DB33" s="66"/>
      <c r="DC33" s="36"/>
      <c r="DD33" s="36"/>
      <c r="DE33" s="36"/>
      <c r="DF33" s="36"/>
      <c r="DG33" s="36"/>
      <c r="DH33" s="61" t="s">
        <v>104</v>
      </c>
      <c r="DI33" s="36" t="s">
        <v>104</v>
      </c>
      <c r="DJ33" s="36">
        <v>8228</v>
      </c>
      <c r="DK33" s="36">
        <v>748</v>
      </c>
      <c r="DL33" s="36" t="s">
        <v>86</v>
      </c>
      <c r="DM33" s="36"/>
      <c r="DN33" s="36">
        <v>2</v>
      </c>
      <c r="DO33" s="36">
        <v>23.3</v>
      </c>
      <c r="DP33" s="36">
        <v>18.2</v>
      </c>
      <c r="DQ33" s="36">
        <v>29.8</v>
      </c>
      <c r="DR33" s="36">
        <v>26.7</v>
      </c>
      <c r="DS33" s="36">
        <v>206</v>
      </c>
      <c r="DT33" s="36"/>
      <c r="DU33" s="36"/>
    </row>
    <row r="34" spans="1:212" s="48" customFormat="1" ht="16.5" customHeight="1" x14ac:dyDescent="0.3">
      <c r="A34" s="34"/>
      <c r="B34" s="74" t="s">
        <v>103</v>
      </c>
      <c r="C34" s="36">
        <v>2.58</v>
      </c>
      <c r="D34" s="36">
        <v>3.96</v>
      </c>
      <c r="E34" s="36">
        <v>0.89</v>
      </c>
      <c r="F34" s="36">
        <v>1.36</v>
      </c>
      <c r="G34" s="36">
        <v>2.62</v>
      </c>
      <c r="H34" s="36">
        <v>3.88</v>
      </c>
      <c r="I34" s="36">
        <v>2.4900000000000002</v>
      </c>
      <c r="J34" s="36">
        <v>2.3199999999999998</v>
      </c>
      <c r="K34" s="37">
        <f t="shared" si="0"/>
        <v>4.8100000000000005</v>
      </c>
      <c r="L34" s="37">
        <v>5.68</v>
      </c>
      <c r="M34" s="36">
        <v>3.36</v>
      </c>
      <c r="N34" s="36">
        <v>3.54</v>
      </c>
      <c r="O34" s="36">
        <v>2.2200000000000002</v>
      </c>
      <c r="P34" s="37">
        <f t="shared" si="1"/>
        <v>5.76</v>
      </c>
      <c r="Q34" s="36">
        <v>5.51</v>
      </c>
      <c r="R34" s="36">
        <v>3.29</v>
      </c>
      <c r="S34" s="38">
        <f t="shared" si="2"/>
        <v>2.898876404494382</v>
      </c>
      <c r="T34" s="38">
        <f t="shared" si="3"/>
        <v>1.0759878419452888</v>
      </c>
      <c r="U34" s="38">
        <f t="shared" si="10"/>
        <v>1.4482758620689655</v>
      </c>
      <c r="V34" s="39">
        <f t="shared" si="4"/>
        <v>0.68992248062015504</v>
      </c>
      <c r="W34" s="39">
        <f t="shared" si="5"/>
        <v>1.0453720508166968</v>
      </c>
      <c r="X34" s="150"/>
      <c r="Y34" s="150"/>
      <c r="Z34" s="150"/>
      <c r="AA34" s="150"/>
      <c r="AB34" s="150"/>
      <c r="AC34" s="36"/>
      <c r="AD34" s="36"/>
      <c r="AE34" s="36"/>
      <c r="AF34" s="42"/>
      <c r="AG34" s="43">
        <f t="shared" si="6"/>
        <v>0</v>
      </c>
      <c r="AH34" s="150"/>
      <c r="AI34" s="150"/>
      <c r="AJ34" s="150"/>
      <c r="AK34" s="150"/>
      <c r="AL34" s="150"/>
      <c r="AM34" s="36"/>
      <c r="AN34" s="36"/>
      <c r="AO34" s="36"/>
      <c r="AP34" s="42"/>
      <c r="AQ34" s="43">
        <f t="shared" si="9"/>
        <v>0</v>
      </c>
      <c r="AR34" s="44" t="s">
        <v>104</v>
      </c>
      <c r="AS34" s="150">
        <v>0.16</v>
      </c>
      <c r="AT34" s="150" t="s">
        <v>104</v>
      </c>
      <c r="AU34" s="150">
        <v>0.28000000000000003</v>
      </c>
      <c r="AV34" s="150">
        <v>7.0000000000000007E-2</v>
      </c>
      <c r="AW34" s="150" t="s">
        <v>104</v>
      </c>
      <c r="AX34" s="150">
        <v>0.16</v>
      </c>
      <c r="AY34" s="150">
        <v>0.23</v>
      </c>
      <c r="AZ34" s="150">
        <v>82.3</v>
      </c>
      <c r="BA34" s="150" t="s">
        <v>86</v>
      </c>
      <c r="BB34" s="36">
        <v>685</v>
      </c>
      <c r="BC34" s="36">
        <v>62</v>
      </c>
      <c r="BD34" s="36">
        <v>56</v>
      </c>
      <c r="BE34" s="36">
        <v>0.22</v>
      </c>
      <c r="BF34" s="36">
        <v>0.12</v>
      </c>
      <c r="BG34" s="36"/>
      <c r="BH34" s="36"/>
      <c r="BI34" s="36"/>
      <c r="BJ34" s="36"/>
      <c r="BK34" s="36">
        <v>0.28999999999999998</v>
      </c>
      <c r="BL34" s="45">
        <v>3.64</v>
      </c>
      <c r="BM34" s="36">
        <v>2.14</v>
      </c>
      <c r="BN34" s="36">
        <v>3.38</v>
      </c>
      <c r="BO34" s="63">
        <v>82</v>
      </c>
      <c r="BP34" s="98">
        <v>76</v>
      </c>
      <c r="BQ34" s="43">
        <f t="shared" si="7"/>
        <v>1.5794392523364484</v>
      </c>
      <c r="BR34" s="47">
        <f t="shared" si="8"/>
        <v>1.0769230769230771</v>
      </c>
      <c r="BS34" s="45">
        <v>1.69</v>
      </c>
      <c r="BT34" s="150">
        <v>4.0599999999999996</v>
      </c>
      <c r="BU34" s="150">
        <v>1.46</v>
      </c>
      <c r="BV34" s="150"/>
      <c r="BW34" s="150"/>
      <c r="BX34" s="150">
        <v>22.5</v>
      </c>
      <c r="BY34" s="150">
        <v>21.9</v>
      </c>
      <c r="BZ34" s="150"/>
      <c r="CA34" s="150"/>
      <c r="CB34" s="150"/>
      <c r="CC34" s="150">
        <v>0.26</v>
      </c>
      <c r="CD34" s="36">
        <v>0.04</v>
      </c>
      <c r="CE34" s="36" t="s">
        <v>104</v>
      </c>
      <c r="CF34" s="36" t="s">
        <v>104</v>
      </c>
      <c r="CG34" s="36">
        <v>2.44</v>
      </c>
      <c r="CH34" s="36">
        <v>2.42</v>
      </c>
      <c r="CI34" s="36" t="s">
        <v>104</v>
      </c>
      <c r="CJ34" s="149">
        <v>2.4</v>
      </c>
      <c r="CK34" s="238" t="s">
        <v>578</v>
      </c>
      <c r="CL34" s="239"/>
      <c r="CM34" s="36" t="s">
        <v>436</v>
      </c>
      <c r="CN34" s="36" t="s">
        <v>434</v>
      </c>
      <c r="CO34" s="36">
        <v>3.9E-2</v>
      </c>
      <c r="CP34" s="36">
        <v>0.01</v>
      </c>
      <c r="CQ34" s="36"/>
      <c r="CR34" s="36"/>
      <c r="CS34" s="36"/>
      <c r="CT34" s="36"/>
      <c r="CU34" s="36">
        <v>4.0999999999999996</v>
      </c>
      <c r="CV34" s="61">
        <v>108.1</v>
      </c>
      <c r="CW34" s="150"/>
      <c r="CX34" s="66"/>
      <c r="CY34" s="66"/>
      <c r="CZ34" s="66"/>
      <c r="DA34" s="66"/>
      <c r="DB34" s="66"/>
      <c r="DC34" s="36"/>
      <c r="DD34" s="36"/>
      <c r="DE34" s="36"/>
      <c r="DF34" s="36"/>
      <c r="DG34" s="36"/>
      <c r="DH34" s="61" t="s">
        <v>104</v>
      </c>
      <c r="DI34" s="36" t="s">
        <v>104</v>
      </c>
      <c r="DJ34" s="36">
        <v>3400</v>
      </c>
      <c r="DK34" s="36">
        <v>1020</v>
      </c>
      <c r="DL34" s="36" t="s">
        <v>86</v>
      </c>
      <c r="DM34" s="36"/>
      <c r="DN34" s="36"/>
      <c r="DO34" s="36"/>
      <c r="DP34" s="36"/>
      <c r="DQ34" s="36"/>
      <c r="DR34" s="36"/>
      <c r="DS34" s="36"/>
      <c r="DT34" s="36"/>
      <c r="DU34" s="36"/>
    </row>
    <row r="35" spans="1:212" s="48" customFormat="1" ht="16.5" customHeight="1" x14ac:dyDescent="0.3">
      <c r="A35" s="34">
        <v>46276</v>
      </c>
      <c r="B35" s="74" t="s">
        <v>85</v>
      </c>
      <c r="C35" s="36">
        <v>2.71</v>
      </c>
      <c r="D35" s="36">
        <v>3.84</v>
      </c>
      <c r="E35" s="36">
        <v>0.78</v>
      </c>
      <c r="F35" s="36">
        <v>1.1599999999999999</v>
      </c>
      <c r="G35" s="36">
        <v>2.64</v>
      </c>
      <c r="H35" s="36">
        <v>3.66</v>
      </c>
      <c r="I35" s="36">
        <v>2.56</v>
      </c>
      <c r="J35" s="36">
        <v>2.4700000000000002</v>
      </c>
      <c r="K35" s="37">
        <f t="shared" si="0"/>
        <v>5.03</v>
      </c>
      <c r="L35" s="37">
        <v>5.61</v>
      </c>
      <c r="M35" s="36">
        <v>3.15</v>
      </c>
      <c r="N35" s="36">
        <v>3.45</v>
      </c>
      <c r="O35" s="36">
        <v>2.36</v>
      </c>
      <c r="P35" s="37">
        <f t="shared" si="1"/>
        <v>5.8100000000000005</v>
      </c>
      <c r="Q35" s="36">
        <v>5.46</v>
      </c>
      <c r="R35" s="36">
        <v>3.02</v>
      </c>
      <c r="S35" s="38">
        <f t="shared" si="2"/>
        <v>3.474358974358974</v>
      </c>
      <c r="T35" s="38">
        <f t="shared" si="3"/>
        <v>1.1423841059602649</v>
      </c>
      <c r="U35" s="38">
        <f t="shared" si="10"/>
        <v>1.2753036437246963</v>
      </c>
      <c r="V35" s="39">
        <f t="shared" si="4"/>
        <v>0.57564575645756455</v>
      </c>
      <c r="W35" s="39">
        <f t="shared" si="5"/>
        <v>1.0641025641025641</v>
      </c>
      <c r="X35" s="152">
        <v>2.9</v>
      </c>
      <c r="Y35" s="152" t="s">
        <v>100</v>
      </c>
      <c r="Z35" s="152">
        <v>2.86</v>
      </c>
      <c r="AA35" s="152">
        <v>2.92</v>
      </c>
      <c r="AB35" s="152">
        <v>2.96</v>
      </c>
      <c r="AC35" s="36">
        <v>2.84</v>
      </c>
      <c r="AD35" s="36">
        <v>2.78</v>
      </c>
      <c r="AE35" s="36" t="s">
        <v>100</v>
      </c>
      <c r="AF35" s="42">
        <v>2.88</v>
      </c>
      <c r="AG35" s="43">
        <f t="shared" si="6"/>
        <v>70.921985815602852</v>
      </c>
      <c r="AH35" s="152">
        <v>2.4</v>
      </c>
      <c r="AI35" s="152">
        <v>2.36</v>
      </c>
      <c r="AJ35" s="152" t="s">
        <v>100</v>
      </c>
      <c r="AK35" s="152">
        <v>2.6</v>
      </c>
      <c r="AL35" s="152">
        <v>2.4</v>
      </c>
      <c r="AM35" s="36" t="s">
        <v>100</v>
      </c>
      <c r="AN35" s="36">
        <v>2.5</v>
      </c>
      <c r="AO35" s="36">
        <v>2.2999999999999998</v>
      </c>
      <c r="AP35" s="42">
        <v>2.4700000000000002</v>
      </c>
      <c r="AQ35" s="43">
        <f t="shared" si="9"/>
        <v>29.078014184397148</v>
      </c>
      <c r="AR35" s="44">
        <v>0.02</v>
      </c>
      <c r="AS35" s="152">
        <v>0.24</v>
      </c>
      <c r="AT35" s="152" t="s">
        <v>104</v>
      </c>
      <c r="AU35" s="152">
        <v>0.02</v>
      </c>
      <c r="AV35" s="152">
        <v>0.15</v>
      </c>
      <c r="AW35" s="152" t="s">
        <v>104</v>
      </c>
      <c r="AX35" s="152">
        <v>0.01</v>
      </c>
      <c r="AY35" s="152">
        <v>0.12</v>
      </c>
      <c r="AZ35" s="152">
        <v>79.2</v>
      </c>
      <c r="BA35" s="152" t="s">
        <v>86</v>
      </c>
      <c r="BB35" s="36" t="s">
        <v>100</v>
      </c>
      <c r="BC35" s="36" t="s">
        <v>100</v>
      </c>
      <c r="BD35" s="36" t="s">
        <v>100</v>
      </c>
      <c r="BE35" s="36">
        <v>0.21</v>
      </c>
      <c r="BF35" s="36">
        <v>0.09</v>
      </c>
      <c r="BG35" s="36"/>
      <c r="BH35" s="36"/>
      <c r="BI35" s="36"/>
      <c r="BJ35" s="36"/>
      <c r="BK35" s="36">
        <v>0.28999999999999998</v>
      </c>
      <c r="BL35" s="45">
        <v>3.58</v>
      </c>
      <c r="BM35" s="36">
        <v>2.16</v>
      </c>
      <c r="BN35" s="36">
        <v>3.3</v>
      </c>
      <c r="BO35" s="63">
        <v>86</v>
      </c>
      <c r="BP35" s="98">
        <v>88</v>
      </c>
      <c r="BQ35" s="43">
        <f t="shared" si="7"/>
        <v>1.5277777777777777</v>
      </c>
      <c r="BR35" s="47">
        <f t="shared" si="8"/>
        <v>1.084848484848485</v>
      </c>
      <c r="BS35" s="45">
        <v>1.93</v>
      </c>
      <c r="BT35" s="152">
        <v>3.98</v>
      </c>
      <c r="BU35" s="152">
        <v>1.2</v>
      </c>
      <c r="BV35" s="152"/>
      <c r="BW35" s="152"/>
      <c r="BX35" s="152">
        <v>19.2</v>
      </c>
      <c r="BY35" s="152">
        <v>19</v>
      </c>
      <c r="BZ35" s="152"/>
      <c r="CA35" s="152"/>
      <c r="CB35" s="152"/>
      <c r="CC35" s="152">
        <v>0.33</v>
      </c>
      <c r="CD35" s="36">
        <v>0</v>
      </c>
      <c r="CE35" s="36" t="s">
        <v>104</v>
      </c>
      <c r="CF35" s="36" t="s">
        <v>104</v>
      </c>
      <c r="CG35" s="36">
        <v>2.36</v>
      </c>
      <c r="CH35" s="36">
        <v>2.34</v>
      </c>
      <c r="CI35" s="36" t="s">
        <v>104</v>
      </c>
      <c r="CJ35" s="151">
        <v>2.34</v>
      </c>
      <c r="CK35" s="238" t="s">
        <v>579</v>
      </c>
      <c r="CL35" s="239"/>
      <c r="CM35" s="36" t="s">
        <v>580</v>
      </c>
      <c r="CN35" s="36" t="s">
        <v>581</v>
      </c>
      <c r="CO35" s="36">
        <v>3.7999999999999999E-2</v>
      </c>
      <c r="CP35" s="36">
        <v>1.0999999999999999E-2</v>
      </c>
      <c r="CQ35" s="36">
        <v>2.6</v>
      </c>
      <c r="CR35" s="36">
        <v>22.1</v>
      </c>
      <c r="CS35" s="36">
        <v>8.5</v>
      </c>
      <c r="CT35" s="36">
        <v>780</v>
      </c>
      <c r="CU35" s="36">
        <v>2.2000000000000002</v>
      </c>
      <c r="CV35" s="61">
        <v>92.2</v>
      </c>
      <c r="CW35" s="152">
        <v>213</v>
      </c>
      <c r="CX35" s="66">
        <v>1.06</v>
      </c>
      <c r="CY35" s="66" t="s">
        <v>100</v>
      </c>
      <c r="CZ35" s="66">
        <v>0.52</v>
      </c>
      <c r="DA35" s="66">
        <v>1.24</v>
      </c>
      <c r="DB35" s="66">
        <v>0.72</v>
      </c>
      <c r="DC35" s="36">
        <v>0.6</v>
      </c>
      <c r="DD35" s="36">
        <v>26.5</v>
      </c>
      <c r="DE35" s="36" t="s">
        <v>100</v>
      </c>
      <c r="DF35" s="36">
        <v>0.02</v>
      </c>
      <c r="DG35" s="36">
        <v>0.02</v>
      </c>
      <c r="DH35" s="61">
        <v>1700</v>
      </c>
      <c r="DI35" s="36">
        <v>1496</v>
      </c>
      <c r="DJ35" s="36">
        <v>4216</v>
      </c>
      <c r="DK35" s="36">
        <v>3332</v>
      </c>
      <c r="DL35" s="36" t="s">
        <v>86</v>
      </c>
      <c r="DM35" s="36"/>
      <c r="DN35" s="36"/>
      <c r="DO35" s="36"/>
      <c r="DP35" s="36"/>
      <c r="DQ35" s="36"/>
      <c r="DR35" s="36"/>
      <c r="DS35" s="36"/>
      <c r="DT35" s="36"/>
      <c r="DU35" s="36"/>
    </row>
    <row r="36" spans="1:212" s="48" customFormat="1" ht="16.5" customHeight="1" x14ac:dyDescent="0.3">
      <c r="A36" s="34"/>
      <c r="B36" s="74" t="s">
        <v>102</v>
      </c>
      <c r="C36" s="36">
        <v>2.72</v>
      </c>
      <c r="D36" s="36">
        <v>3.74</v>
      </c>
      <c r="E36" s="36">
        <v>0.77</v>
      </c>
      <c r="F36" s="36">
        <v>1.32</v>
      </c>
      <c r="G36" s="36">
        <v>2.62</v>
      </c>
      <c r="H36" s="36">
        <v>3.48</v>
      </c>
      <c r="I36" s="36">
        <v>2.56</v>
      </c>
      <c r="J36" s="36">
        <v>2.46</v>
      </c>
      <c r="K36" s="37">
        <f t="shared" si="0"/>
        <v>5.0199999999999996</v>
      </c>
      <c r="L36" s="37">
        <v>5.54</v>
      </c>
      <c r="M36" s="36">
        <v>3.08</v>
      </c>
      <c r="N36" s="36">
        <v>3.55</v>
      </c>
      <c r="O36" s="36">
        <v>2.37</v>
      </c>
      <c r="P36" s="37">
        <f t="shared" si="1"/>
        <v>5.92</v>
      </c>
      <c r="Q36" s="36">
        <v>5.44</v>
      </c>
      <c r="R36" s="36">
        <v>3.07</v>
      </c>
      <c r="S36" s="38">
        <f t="shared" si="2"/>
        <v>3.5324675324675328</v>
      </c>
      <c r="T36" s="38">
        <f t="shared" si="3"/>
        <v>1.1563517915309447</v>
      </c>
      <c r="U36" s="38">
        <f t="shared" si="10"/>
        <v>1.2520325203252034</v>
      </c>
      <c r="V36" s="39">
        <f t="shared" si="4"/>
        <v>0.56617647058823528</v>
      </c>
      <c r="W36" s="39">
        <f t="shared" si="5"/>
        <v>1.088235294117647</v>
      </c>
      <c r="X36" s="154">
        <v>2.86</v>
      </c>
      <c r="Y36" s="154">
        <v>2.9</v>
      </c>
      <c r="Z36" s="154">
        <v>2.92</v>
      </c>
      <c r="AA36" s="154">
        <v>2.88</v>
      </c>
      <c r="AB36" s="154" t="s">
        <v>104</v>
      </c>
      <c r="AC36" s="36">
        <v>2.8</v>
      </c>
      <c r="AD36" s="36">
        <v>2.98</v>
      </c>
      <c r="AE36" s="36">
        <v>2.76</v>
      </c>
      <c r="AF36" s="42">
        <v>2.84</v>
      </c>
      <c r="AG36" s="43">
        <f t="shared" si="6"/>
        <v>63.565891472868245</v>
      </c>
      <c r="AH36" s="154">
        <v>2.34</v>
      </c>
      <c r="AI36" s="154">
        <v>2.36</v>
      </c>
      <c r="AJ36" s="154" t="s">
        <v>104</v>
      </c>
      <c r="AK36" s="154">
        <v>2.46</v>
      </c>
      <c r="AL36" s="154">
        <v>2.2999999999999998</v>
      </c>
      <c r="AM36" s="36" t="s">
        <v>104</v>
      </c>
      <c r="AN36" s="36">
        <v>2.5</v>
      </c>
      <c r="AO36" s="36">
        <v>2.2400000000000002</v>
      </c>
      <c r="AP36" s="42">
        <v>2.37</v>
      </c>
      <c r="AQ36" s="43">
        <f t="shared" si="9"/>
        <v>36.434108527131762</v>
      </c>
      <c r="AR36" s="44">
        <v>0.06</v>
      </c>
      <c r="AS36" s="154">
        <v>0.13</v>
      </c>
      <c r="AT36" s="154" t="s">
        <v>104</v>
      </c>
      <c r="AU36" s="154">
        <v>0.05</v>
      </c>
      <c r="AV36" s="154">
        <v>0.26</v>
      </c>
      <c r="AW36" s="154" t="s">
        <v>104</v>
      </c>
      <c r="AX36" s="154">
        <v>0.09</v>
      </c>
      <c r="AY36" s="154">
        <v>0.19</v>
      </c>
      <c r="AZ36" s="154">
        <v>80</v>
      </c>
      <c r="BA36" s="154" t="s">
        <v>86</v>
      </c>
      <c r="BB36" s="36">
        <v>840</v>
      </c>
      <c r="BC36" s="36">
        <v>97</v>
      </c>
      <c r="BD36" s="36">
        <v>112</v>
      </c>
      <c r="BE36" s="36">
        <v>0.18</v>
      </c>
      <c r="BF36" s="36">
        <v>0.12</v>
      </c>
      <c r="BG36" s="36"/>
      <c r="BH36" s="36"/>
      <c r="BI36" s="36"/>
      <c r="BJ36" s="36"/>
      <c r="BK36" s="36">
        <v>0.27</v>
      </c>
      <c r="BL36" s="45">
        <v>3.36</v>
      </c>
      <c r="BM36" s="36">
        <v>2.3199999999999998</v>
      </c>
      <c r="BN36" s="36">
        <v>3.12</v>
      </c>
      <c r="BO36" s="63">
        <v>91</v>
      </c>
      <c r="BP36" s="98">
        <v>80</v>
      </c>
      <c r="BQ36" s="43">
        <f t="shared" si="7"/>
        <v>1.3448275862068968</v>
      </c>
      <c r="BR36" s="47">
        <f t="shared" si="8"/>
        <v>1.0769230769230769</v>
      </c>
      <c r="BS36" s="45">
        <v>2.12</v>
      </c>
      <c r="BT36" s="154">
        <v>3.7</v>
      </c>
      <c r="BU36" s="154">
        <v>1.2</v>
      </c>
      <c r="BV36" s="154"/>
      <c r="BW36" s="154"/>
      <c r="BX36" s="154">
        <v>21.3</v>
      </c>
      <c r="BY36" s="154">
        <v>20</v>
      </c>
      <c r="BZ36" s="154"/>
      <c r="CA36" s="154"/>
      <c r="CB36" s="154"/>
      <c r="CC36" s="154">
        <v>0.15</v>
      </c>
      <c r="CD36" s="36">
        <v>0.1</v>
      </c>
      <c r="CE36" s="36" t="s">
        <v>104</v>
      </c>
      <c r="CF36" s="36" t="s">
        <v>104</v>
      </c>
      <c r="CG36" s="36">
        <v>2.16</v>
      </c>
      <c r="CH36" s="36">
        <v>2.2000000000000002</v>
      </c>
      <c r="CI36" s="36" t="s">
        <v>104</v>
      </c>
      <c r="CJ36" s="153">
        <v>2.14</v>
      </c>
      <c r="CK36" s="238" t="s">
        <v>582</v>
      </c>
      <c r="CL36" s="239"/>
      <c r="CM36" s="36" t="s">
        <v>197</v>
      </c>
      <c r="CN36" s="36" t="s">
        <v>447</v>
      </c>
      <c r="CO36" s="36">
        <v>3.7999999999999999E-2</v>
      </c>
      <c r="CP36" s="36">
        <v>0.01</v>
      </c>
      <c r="CQ36" s="36"/>
      <c r="CR36" s="36"/>
      <c r="CS36" s="36"/>
      <c r="CT36" s="36"/>
      <c r="CU36" s="36">
        <v>4.9000000000000004</v>
      </c>
      <c r="CV36" s="61">
        <v>73.099999999999994</v>
      </c>
      <c r="CW36" s="154"/>
      <c r="CX36" s="66"/>
      <c r="CY36" s="66"/>
      <c r="CZ36" s="66"/>
      <c r="DA36" s="66"/>
      <c r="DB36" s="66"/>
      <c r="DC36" s="36"/>
      <c r="DD36" s="36"/>
      <c r="DE36" s="36"/>
      <c r="DF36" s="36"/>
      <c r="DG36" s="36"/>
      <c r="DH36" s="61">
        <v>680</v>
      </c>
      <c r="DI36" s="36">
        <v>1020</v>
      </c>
      <c r="DJ36" s="36">
        <v>5576</v>
      </c>
      <c r="DK36" s="36">
        <v>3876</v>
      </c>
      <c r="DL36" s="36" t="s">
        <v>86</v>
      </c>
      <c r="DM36" s="36"/>
      <c r="DN36" s="36">
        <v>2</v>
      </c>
      <c r="DO36" s="36">
        <v>29.3</v>
      </c>
      <c r="DP36" s="36">
        <v>20.2</v>
      </c>
      <c r="DQ36" s="36">
        <v>28.2</v>
      </c>
      <c r="DR36" s="36">
        <v>20.3</v>
      </c>
      <c r="DS36" s="36">
        <v>229</v>
      </c>
      <c r="DT36" s="36"/>
      <c r="DU36" s="36"/>
    </row>
    <row r="37" spans="1:212" s="48" customFormat="1" ht="16.5" customHeight="1" x14ac:dyDescent="0.3">
      <c r="A37" s="34"/>
      <c r="B37" s="74" t="s">
        <v>103</v>
      </c>
      <c r="C37" s="36">
        <v>2.52</v>
      </c>
      <c r="D37" s="36">
        <v>3.8</v>
      </c>
      <c r="E37" s="36">
        <v>0.8</v>
      </c>
      <c r="F37" s="36">
        <v>1.24</v>
      </c>
      <c r="G37" s="36">
        <v>2.62</v>
      </c>
      <c r="H37" s="36">
        <v>3.48</v>
      </c>
      <c r="I37" s="36">
        <v>2.5299999999999998</v>
      </c>
      <c r="J37" s="36">
        <v>2.36</v>
      </c>
      <c r="K37" s="37">
        <f t="shared" si="0"/>
        <v>4.8899999999999997</v>
      </c>
      <c r="L37" s="37">
        <v>5.72</v>
      </c>
      <c r="M37" s="36">
        <v>3.36</v>
      </c>
      <c r="N37" s="36">
        <v>3.32</v>
      </c>
      <c r="O37" s="36">
        <v>2.27</v>
      </c>
      <c r="P37" s="37">
        <f t="shared" si="1"/>
        <v>5.59</v>
      </c>
      <c r="Q37" s="36">
        <v>5.57</v>
      </c>
      <c r="R37" s="36">
        <v>3.3</v>
      </c>
      <c r="S37" s="38">
        <f t="shared" si="2"/>
        <v>3.15</v>
      </c>
      <c r="T37" s="38">
        <f t="shared" si="3"/>
        <v>1.0060606060606061</v>
      </c>
      <c r="U37" s="38">
        <f t="shared" si="10"/>
        <v>1.423728813559322</v>
      </c>
      <c r="V37" s="39">
        <f t="shared" si="4"/>
        <v>0.634920634920635</v>
      </c>
      <c r="W37" s="39">
        <f t="shared" si="5"/>
        <v>1.0035906642728905</v>
      </c>
      <c r="X37" s="157"/>
      <c r="Y37" s="157"/>
      <c r="Z37" s="157"/>
      <c r="AA37" s="157"/>
      <c r="AB37" s="157"/>
      <c r="AC37" s="36"/>
      <c r="AD37" s="36"/>
      <c r="AE37" s="36"/>
      <c r="AF37" s="42"/>
      <c r="AG37" s="43"/>
      <c r="AH37" s="157"/>
      <c r="AI37" s="157"/>
      <c r="AJ37" s="157"/>
      <c r="AK37" s="157"/>
      <c r="AL37" s="157"/>
      <c r="AM37" s="36"/>
      <c r="AN37" s="36"/>
      <c r="AO37" s="36"/>
      <c r="AP37" s="42"/>
      <c r="AQ37" s="43"/>
      <c r="AR37" s="44">
        <v>0.15</v>
      </c>
      <c r="AS37" s="157">
        <v>0.28000000000000003</v>
      </c>
      <c r="AT37" s="157" t="s">
        <v>104</v>
      </c>
      <c r="AU37" s="157" t="s">
        <v>104</v>
      </c>
      <c r="AV37" s="157">
        <v>0.2</v>
      </c>
      <c r="AW37" s="157" t="s">
        <v>104</v>
      </c>
      <c r="AX37" s="157">
        <v>0.03</v>
      </c>
      <c r="AY37" s="157">
        <v>0.1</v>
      </c>
      <c r="AZ37" s="157">
        <v>77.400000000000006</v>
      </c>
      <c r="BA37" s="157" t="s">
        <v>86</v>
      </c>
      <c r="BB37" s="36">
        <v>986</v>
      </c>
      <c r="BC37" s="36">
        <v>92</v>
      </c>
      <c r="BD37" s="36">
        <v>78</v>
      </c>
      <c r="BE37" s="36">
        <v>0.2</v>
      </c>
      <c r="BF37" s="36">
        <v>0.1</v>
      </c>
      <c r="BG37" s="36"/>
      <c r="BH37" s="36"/>
      <c r="BI37" s="36"/>
      <c r="BJ37" s="36"/>
      <c r="BK37" s="36">
        <v>0.28999999999999998</v>
      </c>
      <c r="BL37" s="45">
        <v>3.52</v>
      </c>
      <c r="BM37" s="36">
        <v>2.31</v>
      </c>
      <c r="BN37" s="36">
        <v>3.16</v>
      </c>
      <c r="BO37" s="63">
        <v>68</v>
      </c>
      <c r="BP37" s="98">
        <v>46</v>
      </c>
      <c r="BQ37" s="43">
        <f t="shared" si="7"/>
        <v>1.3679653679653681</v>
      </c>
      <c r="BR37" s="47">
        <f t="shared" si="8"/>
        <v>1.1139240506329113</v>
      </c>
      <c r="BS37" s="45">
        <v>1.8</v>
      </c>
      <c r="BT37" s="157">
        <v>3.92</v>
      </c>
      <c r="BU37" s="157">
        <v>1.28</v>
      </c>
      <c r="BV37" s="157"/>
      <c r="BW37" s="157"/>
      <c r="BX37" s="157">
        <v>21.8</v>
      </c>
      <c r="BY37" s="157">
        <v>22.9</v>
      </c>
      <c r="BZ37" s="157"/>
      <c r="CA37" s="157"/>
      <c r="CB37" s="157"/>
      <c r="CC37" s="157">
        <v>0.28000000000000003</v>
      </c>
      <c r="CD37" s="36">
        <v>-0.32</v>
      </c>
      <c r="CE37" s="36" t="s">
        <v>104</v>
      </c>
      <c r="CF37" s="36" t="s">
        <v>104</v>
      </c>
      <c r="CG37" s="36">
        <v>2.08</v>
      </c>
      <c r="CH37" s="36">
        <v>2.04</v>
      </c>
      <c r="CI37" s="36" t="s">
        <v>104</v>
      </c>
      <c r="CJ37" s="156">
        <v>2.12</v>
      </c>
      <c r="CK37" s="238" t="s">
        <v>427</v>
      </c>
      <c r="CL37" s="239"/>
      <c r="CM37" s="36" t="s">
        <v>114</v>
      </c>
      <c r="CN37" s="36" t="s">
        <v>141</v>
      </c>
      <c r="CO37" s="36">
        <v>3.7999999999999999E-2</v>
      </c>
      <c r="CP37" s="36">
        <v>0.01</v>
      </c>
      <c r="CQ37" s="36"/>
      <c r="CR37" s="36"/>
      <c r="CS37" s="36"/>
      <c r="CT37" s="36"/>
      <c r="CU37" s="36">
        <v>1.7</v>
      </c>
      <c r="CV37" s="61">
        <v>55.6</v>
      </c>
      <c r="CW37" s="157"/>
      <c r="CX37" s="66"/>
      <c r="CY37" s="66"/>
      <c r="CZ37" s="66"/>
      <c r="DA37" s="66"/>
      <c r="DB37" s="66"/>
      <c r="DC37" s="36"/>
      <c r="DD37" s="36"/>
      <c r="DE37" s="36"/>
      <c r="DF37" s="36"/>
      <c r="DG37" s="36"/>
      <c r="DH37" s="61" t="s">
        <v>104</v>
      </c>
      <c r="DI37" s="36" t="s">
        <v>104</v>
      </c>
      <c r="DJ37" s="36">
        <v>5576</v>
      </c>
      <c r="DK37" s="36">
        <v>3876</v>
      </c>
      <c r="DL37" s="36" t="s">
        <v>86</v>
      </c>
      <c r="DM37" s="36"/>
      <c r="DN37" s="36"/>
      <c r="DO37" s="36"/>
      <c r="DP37" s="36"/>
      <c r="DQ37" s="36"/>
      <c r="DR37" s="36"/>
      <c r="DS37" s="36"/>
      <c r="DT37" s="36"/>
      <c r="DU37" s="36"/>
    </row>
    <row r="38" spans="1:212" s="48" customFormat="1" ht="16.5" customHeight="1" x14ac:dyDescent="0.3">
      <c r="A38" s="34">
        <v>46277</v>
      </c>
      <c r="B38" s="74" t="s">
        <v>85</v>
      </c>
      <c r="C38" s="36">
        <v>2.48</v>
      </c>
      <c r="D38" s="36">
        <v>3.95</v>
      </c>
      <c r="E38" s="36">
        <v>0.8</v>
      </c>
      <c r="F38" s="36">
        <v>1.24</v>
      </c>
      <c r="G38" s="36">
        <v>2.46</v>
      </c>
      <c r="H38" s="36">
        <v>3.66</v>
      </c>
      <c r="I38" s="36">
        <v>2.5299999999999998</v>
      </c>
      <c r="J38" s="36">
        <v>2.27</v>
      </c>
      <c r="K38" s="37">
        <f t="shared" si="0"/>
        <v>4.8</v>
      </c>
      <c r="L38" s="37">
        <v>572</v>
      </c>
      <c r="M38" s="36">
        <v>3.44</v>
      </c>
      <c r="N38" s="36">
        <v>3.48</v>
      </c>
      <c r="O38" s="36">
        <v>2.2200000000000002</v>
      </c>
      <c r="P38" s="37">
        <f t="shared" si="1"/>
        <v>5.7</v>
      </c>
      <c r="Q38" s="36">
        <v>5.56</v>
      </c>
      <c r="R38" s="36">
        <v>3.35</v>
      </c>
      <c r="S38" s="38">
        <f t="shared" si="2"/>
        <v>3.0999999999999996</v>
      </c>
      <c r="T38" s="38">
        <f t="shared" si="3"/>
        <v>1.0388059701492538</v>
      </c>
      <c r="U38" s="38">
        <f t="shared" si="10"/>
        <v>1.5154185022026432</v>
      </c>
      <c r="V38" s="39">
        <f t="shared" si="4"/>
        <v>0.64516129032258074</v>
      </c>
      <c r="W38" s="39">
        <f t="shared" si="5"/>
        <v>1.025179856115108</v>
      </c>
      <c r="X38" s="159">
        <v>2.9</v>
      </c>
      <c r="Y38" s="159">
        <v>2.7</v>
      </c>
      <c r="Z38" s="159">
        <v>2.98</v>
      </c>
      <c r="AA38" s="159">
        <v>2.88</v>
      </c>
      <c r="AB38" s="159">
        <v>2.76</v>
      </c>
      <c r="AC38" s="36">
        <v>2.8</v>
      </c>
      <c r="AD38" s="36">
        <v>2.94</v>
      </c>
      <c r="AE38" s="36">
        <v>2.78</v>
      </c>
      <c r="AF38" s="42">
        <v>2.88</v>
      </c>
      <c r="AG38" s="43">
        <f t="shared" si="6"/>
        <v>49.586776859504141</v>
      </c>
      <c r="AH38" s="159">
        <v>2.2400000000000002</v>
      </c>
      <c r="AI38" s="159">
        <v>2.34</v>
      </c>
      <c r="AJ38" s="159" t="s">
        <v>100</v>
      </c>
      <c r="AK38" s="159">
        <v>2.36</v>
      </c>
      <c r="AL38" s="159">
        <v>2.2799999999999998</v>
      </c>
      <c r="AM38" s="36" t="s">
        <v>100</v>
      </c>
      <c r="AN38" s="36">
        <v>2.2200000000000002</v>
      </c>
      <c r="AO38" s="36">
        <v>2.1800000000000002</v>
      </c>
      <c r="AP38" s="42">
        <v>2.27</v>
      </c>
      <c r="AQ38" s="43">
        <f t="shared" si="9"/>
        <v>50.413223140495859</v>
      </c>
      <c r="AR38" s="44">
        <v>0.26</v>
      </c>
      <c r="AS38" s="159">
        <v>0.3</v>
      </c>
      <c r="AT38" s="159" t="s">
        <v>100</v>
      </c>
      <c r="AU38" s="159">
        <v>0.46</v>
      </c>
      <c r="AV38" s="159">
        <v>0.12</v>
      </c>
      <c r="AW38" s="159" t="s">
        <v>100</v>
      </c>
      <c r="AX38" s="159">
        <v>0.05</v>
      </c>
      <c r="AY38" s="159">
        <v>0.36</v>
      </c>
      <c r="AZ38" s="159">
        <v>78.7</v>
      </c>
      <c r="BA38" s="159" t="s">
        <v>86</v>
      </c>
      <c r="BB38" s="36">
        <v>720</v>
      </c>
      <c r="BC38" s="36">
        <v>72</v>
      </c>
      <c r="BD38" s="36">
        <v>78</v>
      </c>
      <c r="BE38" s="36">
        <v>0.17</v>
      </c>
      <c r="BF38" s="36">
        <v>0.11</v>
      </c>
      <c r="BG38" s="36"/>
      <c r="BH38" s="36"/>
      <c r="BI38" s="36"/>
      <c r="BJ38" s="36"/>
      <c r="BK38" s="36">
        <v>0.28999999999999998</v>
      </c>
      <c r="BL38" s="45">
        <v>3.28</v>
      </c>
      <c r="BM38" s="36">
        <v>2.16</v>
      </c>
      <c r="BN38" s="36">
        <v>3.34</v>
      </c>
      <c r="BO38" s="63">
        <v>85</v>
      </c>
      <c r="BP38" s="98">
        <v>89</v>
      </c>
      <c r="BQ38" s="43">
        <f t="shared" si="7"/>
        <v>1.5462962962962961</v>
      </c>
      <c r="BR38" s="47">
        <f t="shared" si="8"/>
        <v>0.98203592814371254</v>
      </c>
      <c r="BS38" s="45">
        <v>1.69</v>
      </c>
      <c r="BT38" s="159">
        <v>3.99</v>
      </c>
      <c r="BU38" s="159">
        <v>1.24</v>
      </c>
      <c r="BV38" s="159">
        <v>25.3</v>
      </c>
      <c r="BW38" s="159"/>
      <c r="BX38" s="159">
        <v>20.100000000000001</v>
      </c>
      <c r="BY38" s="159"/>
      <c r="BZ38" s="159"/>
      <c r="CA38" s="159"/>
      <c r="CB38" s="159"/>
      <c r="CC38" s="159">
        <v>0.27</v>
      </c>
      <c r="CD38" s="36">
        <v>0.2</v>
      </c>
      <c r="CE38" s="36" t="s">
        <v>100</v>
      </c>
      <c r="CF38" s="36" t="s">
        <v>100</v>
      </c>
      <c r="CG38" s="36">
        <v>2.38</v>
      </c>
      <c r="CH38" s="36">
        <v>2.4</v>
      </c>
      <c r="CI38" s="36" t="s">
        <v>100</v>
      </c>
      <c r="CJ38" s="158">
        <v>2.4</v>
      </c>
      <c r="CK38" s="238" t="s">
        <v>585</v>
      </c>
      <c r="CL38" s="239"/>
      <c r="CM38" s="36" t="s">
        <v>586</v>
      </c>
      <c r="CN38" s="36" t="s">
        <v>587</v>
      </c>
      <c r="CO38" s="36">
        <v>3.5000000000000003E-2</v>
      </c>
      <c r="CP38" s="36">
        <v>7.0000000000000001E-3</v>
      </c>
      <c r="CQ38" s="36">
        <v>2.7</v>
      </c>
      <c r="CR38" s="36">
        <v>22.9</v>
      </c>
      <c r="CS38" s="36">
        <v>11.1</v>
      </c>
      <c r="CT38" s="36">
        <v>337</v>
      </c>
      <c r="CU38" s="36">
        <v>4.4000000000000004</v>
      </c>
      <c r="CV38" s="61">
        <v>64.7</v>
      </c>
      <c r="CW38" s="159">
        <v>921</v>
      </c>
      <c r="CX38" s="66">
        <v>1.9</v>
      </c>
      <c r="CY38" s="66" t="s">
        <v>100</v>
      </c>
      <c r="CZ38" s="66">
        <v>0.3</v>
      </c>
      <c r="DA38" s="66">
        <v>0.56000000000000005</v>
      </c>
      <c r="DB38" s="66">
        <v>0.26</v>
      </c>
      <c r="DC38" s="36">
        <v>0.8</v>
      </c>
      <c r="DD38" s="36">
        <v>31.8</v>
      </c>
      <c r="DE38" s="36" t="s">
        <v>100</v>
      </c>
      <c r="DF38" s="36">
        <v>0.02</v>
      </c>
      <c r="DG38" s="36">
        <v>0.02</v>
      </c>
      <c r="DH38" s="61" t="s">
        <v>100</v>
      </c>
      <c r="DI38" s="36" t="s">
        <v>100</v>
      </c>
      <c r="DJ38" s="36">
        <v>5916</v>
      </c>
      <c r="DK38" s="36">
        <v>5644</v>
      </c>
      <c r="DL38" s="36" t="s">
        <v>86</v>
      </c>
      <c r="DM38" s="36"/>
      <c r="DN38" s="36"/>
      <c r="DO38" s="36"/>
      <c r="DP38" s="36"/>
      <c r="DQ38" s="36"/>
      <c r="DR38" s="36"/>
      <c r="DS38" s="36"/>
      <c r="DT38" s="36"/>
      <c r="DU38" s="36"/>
    </row>
    <row r="39" spans="1:212" s="48" customFormat="1" ht="16.5" customHeight="1" x14ac:dyDescent="0.3">
      <c r="A39" s="34"/>
      <c r="B39" s="74" t="s">
        <v>102</v>
      </c>
      <c r="C39" s="36">
        <v>2.83</v>
      </c>
      <c r="D39" s="36">
        <v>3.66</v>
      </c>
      <c r="E39" s="36">
        <v>0.8</v>
      </c>
      <c r="F39" s="36">
        <v>1.49</v>
      </c>
      <c r="G39" s="36">
        <v>2.4</v>
      </c>
      <c r="H39" s="36">
        <v>3.6</v>
      </c>
      <c r="I39" s="36">
        <v>2.5499999999999998</v>
      </c>
      <c r="J39" s="36">
        <v>2.31</v>
      </c>
      <c r="K39" s="37">
        <f t="shared" si="0"/>
        <v>4.8599999999999994</v>
      </c>
      <c r="L39" s="37">
        <v>5.7</v>
      </c>
      <c r="M39" s="36">
        <v>3.39</v>
      </c>
      <c r="N39" s="36">
        <v>3.6</v>
      </c>
      <c r="O39" s="36">
        <v>2.2000000000000002</v>
      </c>
      <c r="P39" s="37">
        <f t="shared" si="1"/>
        <v>5.8000000000000007</v>
      </c>
      <c r="Q39" s="36">
        <v>5.52</v>
      </c>
      <c r="R39" s="36">
        <v>3.32</v>
      </c>
      <c r="S39" s="38">
        <f t="shared" si="2"/>
        <v>3.5375000000000001</v>
      </c>
      <c r="T39" s="38">
        <f t="shared" si="3"/>
        <v>1.0843373493975905</v>
      </c>
      <c r="U39" s="38">
        <f t="shared" si="10"/>
        <v>1.4675324675324675</v>
      </c>
      <c r="V39" s="39">
        <f t="shared" si="4"/>
        <v>0.56537102473498235</v>
      </c>
      <c r="W39" s="39">
        <f t="shared" si="5"/>
        <v>1.0507246376811596</v>
      </c>
      <c r="X39" s="161">
        <v>2.84</v>
      </c>
      <c r="Y39" s="161">
        <v>2.62</v>
      </c>
      <c r="Z39" s="161">
        <v>2.94</v>
      </c>
      <c r="AA39" s="161">
        <v>2.88</v>
      </c>
      <c r="AB39" s="161">
        <v>2.94</v>
      </c>
      <c r="AC39" s="36">
        <v>2.76</v>
      </c>
      <c r="AD39" s="36">
        <v>2.5</v>
      </c>
      <c r="AE39" s="36">
        <v>2.52</v>
      </c>
      <c r="AF39" s="42">
        <v>2.8</v>
      </c>
      <c r="AG39" s="43">
        <f t="shared" si="6"/>
        <v>62.318840579710155</v>
      </c>
      <c r="AH39" s="161">
        <v>2.2799999999999998</v>
      </c>
      <c r="AI39" s="161">
        <v>2.2799999999999998</v>
      </c>
      <c r="AJ39" s="161" t="s">
        <v>100</v>
      </c>
      <c r="AK39" s="161">
        <v>2.2599999999999998</v>
      </c>
      <c r="AL39" s="161">
        <v>2.2999999999999998</v>
      </c>
      <c r="AM39" s="36" t="s">
        <v>100</v>
      </c>
      <c r="AN39" s="36">
        <v>2.2599999999999998</v>
      </c>
      <c r="AO39" s="36">
        <v>2.2000000000000002</v>
      </c>
      <c r="AP39" s="42">
        <v>2.2799999999999998</v>
      </c>
      <c r="AQ39" s="43">
        <f t="shared" si="9"/>
        <v>37.681159420289845</v>
      </c>
      <c r="AR39" s="44">
        <v>0.18</v>
      </c>
      <c r="AS39" s="161">
        <v>0.38</v>
      </c>
      <c r="AT39" s="161" t="s">
        <v>100</v>
      </c>
      <c r="AU39" s="161">
        <v>0.2</v>
      </c>
      <c r="AV39" s="161">
        <v>0.14000000000000001</v>
      </c>
      <c r="AW39" s="161" t="s">
        <v>100</v>
      </c>
      <c r="AX39" s="161">
        <v>0.14000000000000001</v>
      </c>
      <c r="AY39" s="161">
        <v>0.4</v>
      </c>
      <c r="AZ39" s="161">
        <v>73.7</v>
      </c>
      <c r="BA39" s="161" t="s">
        <v>86</v>
      </c>
      <c r="BB39" s="36">
        <v>752</v>
      </c>
      <c r="BC39" s="36">
        <v>96</v>
      </c>
      <c r="BD39" s="36">
        <v>84</v>
      </c>
      <c r="BE39" s="36">
        <v>0.18</v>
      </c>
      <c r="BF39" s="36">
        <v>0.12</v>
      </c>
      <c r="BG39" s="36"/>
      <c r="BH39" s="36"/>
      <c r="BI39" s="36"/>
      <c r="BJ39" s="36"/>
      <c r="BK39" s="36">
        <v>0.28999999999999998</v>
      </c>
      <c r="BL39" s="45">
        <v>3.56</v>
      </c>
      <c r="BM39" s="36">
        <v>2.2000000000000002</v>
      </c>
      <c r="BN39" s="36">
        <v>3.34</v>
      </c>
      <c r="BO39" s="63">
        <v>94</v>
      </c>
      <c r="BP39" s="98">
        <v>68</v>
      </c>
      <c r="BQ39" s="43">
        <f t="shared" si="7"/>
        <v>1.5181818181818181</v>
      </c>
      <c r="BR39" s="47">
        <f t="shared" si="8"/>
        <v>1.0658682634730539</v>
      </c>
      <c r="BS39" s="45">
        <v>2</v>
      </c>
      <c r="BT39" s="161">
        <v>3.7</v>
      </c>
      <c r="BU39" s="162">
        <v>1.24</v>
      </c>
      <c r="BV39" s="161">
        <v>24.7</v>
      </c>
      <c r="BW39" s="161">
        <v>20.8</v>
      </c>
      <c r="BX39" s="161"/>
      <c r="BY39" s="161"/>
      <c r="BZ39" s="161"/>
      <c r="CA39" s="161"/>
      <c r="CB39" s="161"/>
      <c r="CC39" s="161">
        <v>0.2</v>
      </c>
      <c r="CD39" s="36">
        <v>-0.14000000000000001</v>
      </c>
      <c r="CE39" s="36" t="s">
        <v>100</v>
      </c>
      <c r="CF39" s="36" t="s">
        <v>100</v>
      </c>
      <c r="CG39" s="36">
        <v>2.1800000000000002</v>
      </c>
      <c r="CH39" s="36">
        <v>2.34</v>
      </c>
      <c r="CI39" s="36" t="s">
        <v>100</v>
      </c>
      <c r="CJ39" s="160">
        <v>2.2599999999999998</v>
      </c>
      <c r="CK39" s="238" t="s">
        <v>588</v>
      </c>
      <c r="CL39" s="239"/>
      <c r="CM39" s="36" t="s">
        <v>589</v>
      </c>
      <c r="CN39" s="36" t="s">
        <v>590</v>
      </c>
      <c r="CO39" s="36">
        <v>3.5000000000000003E-2</v>
      </c>
      <c r="CP39" s="36">
        <v>7.0000000000000001E-3</v>
      </c>
      <c r="CQ39" s="36"/>
      <c r="CR39" s="36"/>
      <c r="CS39" s="36"/>
      <c r="CT39" s="36"/>
      <c r="CU39" s="36">
        <v>3.7</v>
      </c>
      <c r="CV39" s="61">
        <v>78.400000000000006</v>
      </c>
      <c r="CW39" s="161"/>
      <c r="CX39" s="66"/>
      <c r="CY39" s="66"/>
      <c r="CZ39" s="66"/>
      <c r="DA39" s="66"/>
      <c r="DB39" s="66"/>
      <c r="DC39" s="36"/>
      <c r="DD39" s="36"/>
      <c r="DE39" s="36"/>
      <c r="DF39" s="36"/>
      <c r="DG39" s="36"/>
      <c r="DH39" s="61" t="s">
        <v>100</v>
      </c>
      <c r="DI39" s="36" t="s">
        <v>100</v>
      </c>
      <c r="DJ39" s="36">
        <v>3400</v>
      </c>
      <c r="DK39" s="36">
        <v>1632</v>
      </c>
      <c r="DL39" s="36" t="s">
        <v>86</v>
      </c>
      <c r="DM39" s="36"/>
      <c r="DN39" s="36">
        <v>2.4</v>
      </c>
      <c r="DO39" s="36">
        <v>27.2</v>
      </c>
      <c r="DP39" s="36">
        <v>21.4</v>
      </c>
      <c r="DQ39" s="36">
        <v>26.9</v>
      </c>
      <c r="DR39" s="36">
        <v>22.1</v>
      </c>
      <c r="DS39" s="36">
        <v>224</v>
      </c>
      <c r="DT39" s="36"/>
      <c r="DU39" s="36"/>
    </row>
    <row r="40" spans="1:212" s="48" customFormat="1" ht="16.5" customHeight="1" x14ac:dyDescent="0.3">
      <c r="A40" s="34"/>
      <c r="B40" s="74" t="s">
        <v>103</v>
      </c>
      <c r="C40" s="36">
        <v>2.91</v>
      </c>
      <c r="D40" s="36">
        <v>3.48</v>
      </c>
      <c r="E40" s="36">
        <v>0.78</v>
      </c>
      <c r="F40" s="36">
        <v>1.58</v>
      </c>
      <c r="G40" s="36">
        <v>2.4</v>
      </c>
      <c r="H40" s="36">
        <v>3.6</v>
      </c>
      <c r="I40" s="36">
        <v>2.4500000000000002</v>
      </c>
      <c r="J40" s="36">
        <v>2.31</v>
      </c>
      <c r="K40" s="37">
        <f t="shared" si="0"/>
        <v>4.76</v>
      </c>
      <c r="L40" s="37">
        <v>5.69</v>
      </c>
      <c r="M40" s="36">
        <v>3.38</v>
      </c>
      <c r="N40" s="36">
        <v>3.22</v>
      </c>
      <c r="O40" s="36">
        <v>2.19</v>
      </c>
      <c r="P40" s="37">
        <f t="shared" si="1"/>
        <v>5.41</v>
      </c>
      <c r="Q40" s="36">
        <v>5.51</v>
      </c>
      <c r="R40" s="36">
        <v>3.32</v>
      </c>
      <c r="S40" s="38">
        <f t="shared" si="2"/>
        <v>3.7307692307692308</v>
      </c>
      <c r="T40" s="38">
        <f t="shared" si="3"/>
        <v>0.96987951807228923</v>
      </c>
      <c r="U40" s="38">
        <f t="shared" si="10"/>
        <v>1.4632034632034632</v>
      </c>
      <c r="V40" s="39">
        <f t="shared" si="4"/>
        <v>0.53608247422680411</v>
      </c>
      <c r="W40" s="39">
        <f t="shared" si="5"/>
        <v>0.98185117967332125</v>
      </c>
      <c r="X40" s="164"/>
      <c r="Y40" s="164"/>
      <c r="Z40" s="164"/>
      <c r="AA40" s="164"/>
      <c r="AB40" s="164"/>
      <c r="AC40" s="36"/>
      <c r="AD40" s="36"/>
      <c r="AE40" s="36"/>
      <c r="AF40" s="42"/>
      <c r="AG40" s="43">
        <f t="shared" si="6"/>
        <v>0</v>
      </c>
      <c r="AH40" s="164"/>
      <c r="AI40" s="164"/>
      <c r="AJ40" s="164"/>
      <c r="AK40" s="164"/>
      <c r="AL40" s="164"/>
      <c r="AM40" s="36"/>
      <c r="AN40" s="36"/>
      <c r="AO40" s="36"/>
      <c r="AP40" s="42"/>
      <c r="AQ40" s="43">
        <f t="shared" si="9"/>
        <v>0</v>
      </c>
      <c r="AR40" s="44">
        <v>0.2</v>
      </c>
      <c r="AS40" s="164">
        <v>0.21</v>
      </c>
      <c r="AT40" s="164" t="s">
        <v>104</v>
      </c>
      <c r="AU40" s="164">
        <v>0.04</v>
      </c>
      <c r="AV40" s="164">
        <v>0.08</v>
      </c>
      <c r="AW40" s="164" t="s">
        <v>104</v>
      </c>
      <c r="AX40" s="164">
        <v>0.25</v>
      </c>
      <c r="AY40" s="164">
        <v>0.39</v>
      </c>
      <c r="AZ40" s="164">
        <v>71.400000000000006</v>
      </c>
      <c r="BA40" s="164" t="s">
        <v>86</v>
      </c>
      <c r="BB40" s="36">
        <v>1032</v>
      </c>
      <c r="BC40" s="36">
        <v>98</v>
      </c>
      <c r="BD40" s="36">
        <v>116</v>
      </c>
      <c r="BE40" s="36">
        <v>0.21</v>
      </c>
      <c r="BF40" s="36">
        <v>0.12</v>
      </c>
      <c r="BG40" s="36"/>
      <c r="BH40" s="36"/>
      <c r="BI40" s="36"/>
      <c r="BJ40" s="36"/>
      <c r="BK40" s="36">
        <v>0.3</v>
      </c>
      <c r="BL40" s="45">
        <v>3.48</v>
      </c>
      <c r="BM40" s="36">
        <v>2.2000000000000002</v>
      </c>
      <c r="BN40" s="36">
        <v>3.34</v>
      </c>
      <c r="BO40" s="63">
        <v>132</v>
      </c>
      <c r="BP40" s="98">
        <v>122</v>
      </c>
      <c r="BQ40" s="43">
        <f t="shared" si="7"/>
        <v>1.5181818181818181</v>
      </c>
      <c r="BR40" s="47">
        <f t="shared" si="8"/>
        <v>1.0419161676646707</v>
      </c>
      <c r="BS40" s="45">
        <v>2.11</v>
      </c>
      <c r="BT40" s="164">
        <v>3.66</v>
      </c>
      <c r="BU40" s="164">
        <v>1.4</v>
      </c>
      <c r="BV40" s="164"/>
      <c r="BW40" s="164"/>
      <c r="BX40" s="164">
        <v>24.5</v>
      </c>
      <c r="BY40" s="164">
        <v>23.7</v>
      </c>
      <c r="BZ40" s="164"/>
      <c r="CA40" s="164"/>
      <c r="CB40" s="164"/>
      <c r="CC40" s="164">
        <v>0.38</v>
      </c>
      <c r="CD40" s="36">
        <v>-0.28000000000000003</v>
      </c>
      <c r="CE40" s="36">
        <v>2.1</v>
      </c>
      <c r="CF40" s="36" t="s">
        <v>104</v>
      </c>
      <c r="CG40" s="36" t="s">
        <v>104</v>
      </c>
      <c r="CH40" s="36">
        <v>2.2400000000000002</v>
      </c>
      <c r="CI40" s="36" t="s">
        <v>104</v>
      </c>
      <c r="CJ40" s="163">
        <v>2.2400000000000002</v>
      </c>
      <c r="CK40" s="238" t="s">
        <v>591</v>
      </c>
      <c r="CL40" s="239"/>
      <c r="CM40" s="36" t="s">
        <v>347</v>
      </c>
      <c r="CN40" s="36" t="s">
        <v>592</v>
      </c>
      <c r="CO40" s="36">
        <v>3.5999999999999997E-2</v>
      </c>
      <c r="CP40" s="36">
        <v>8.0000000000000002E-3</v>
      </c>
      <c r="CQ40" s="36"/>
      <c r="CR40" s="36"/>
      <c r="CS40" s="36"/>
      <c r="CT40" s="36"/>
      <c r="CU40" s="36">
        <v>4.3</v>
      </c>
      <c r="CV40" s="61">
        <v>58.8</v>
      </c>
      <c r="CW40" s="164"/>
      <c r="CX40" s="66"/>
      <c r="CY40" s="66"/>
      <c r="CZ40" s="66"/>
      <c r="DA40" s="66"/>
      <c r="DB40" s="66"/>
      <c r="DC40" s="36"/>
      <c r="DD40" s="36"/>
      <c r="DE40" s="36"/>
      <c r="DF40" s="36"/>
      <c r="DG40" s="36"/>
      <c r="DH40" s="61" t="s">
        <v>104</v>
      </c>
      <c r="DI40" s="36" t="s">
        <v>104</v>
      </c>
      <c r="DJ40" s="36">
        <v>4148</v>
      </c>
      <c r="DK40" s="36">
        <v>3652</v>
      </c>
      <c r="DL40" s="36" t="s">
        <v>86</v>
      </c>
      <c r="DM40" s="36"/>
      <c r="DN40" s="36"/>
      <c r="DO40" s="36"/>
      <c r="DP40" s="36"/>
      <c r="DQ40" s="36"/>
      <c r="DR40" s="36"/>
      <c r="DS40" s="36"/>
      <c r="DT40" s="36"/>
      <c r="DU40" s="36"/>
    </row>
    <row r="41" spans="1:212" s="48" customFormat="1" ht="16.5" customHeight="1" x14ac:dyDescent="0.3">
      <c r="A41" s="34">
        <v>46278</v>
      </c>
      <c r="B41" s="74" t="s">
        <v>85</v>
      </c>
      <c r="C41" s="36">
        <v>2.44</v>
      </c>
      <c r="D41" s="36">
        <v>3.94</v>
      </c>
      <c r="E41" s="36">
        <v>0.84</v>
      </c>
      <c r="F41" s="36">
        <v>1.29</v>
      </c>
      <c r="G41" s="36">
        <v>2.68</v>
      </c>
      <c r="H41" s="36">
        <v>3.5</v>
      </c>
      <c r="I41" s="36">
        <v>2.5</v>
      </c>
      <c r="J41" s="36">
        <v>2.2599999999999998</v>
      </c>
      <c r="K41" s="37">
        <f t="shared" si="0"/>
        <v>4.76</v>
      </c>
      <c r="L41" s="37">
        <v>5.7</v>
      </c>
      <c r="M41" s="36">
        <v>3.44</v>
      </c>
      <c r="N41" s="36">
        <v>3.21</v>
      </c>
      <c r="O41" s="36">
        <v>2.14</v>
      </c>
      <c r="P41" s="37">
        <f t="shared" si="1"/>
        <v>5.35</v>
      </c>
      <c r="Q41" s="36">
        <v>5.52</v>
      </c>
      <c r="R41" s="36">
        <v>3.38</v>
      </c>
      <c r="S41" s="38">
        <f t="shared" si="2"/>
        <v>2.9047619047619047</v>
      </c>
      <c r="T41" s="38">
        <f t="shared" si="3"/>
        <v>0.94970414201183428</v>
      </c>
      <c r="U41" s="38">
        <f t="shared" si="10"/>
        <v>1.5221238938053099</v>
      </c>
      <c r="V41" s="39">
        <f t="shared" si="4"/>
        <v>0.68852459016393441</v>
      </c>
      <c r="W41" s="39">
        <f t="shared" si="5"/>
        <v>0.96920289855072461</v>
      </c>
      <c r="X41" s="166">
        <v>2.68</v>
      </c>
      <c r="Y41" s="166"/>
      <c r="Z41" s="166">
        <v>2.76</v>
      </c>
      <c r="AA41" s="166">
        <v>2.7</v>
      </c>
      <c r="AB41" s="166">
        <v>2.68</v>
      </c>
      <c r="AC41" s="36">
        <v>2.64</v>
      </c>
      <c r="AD41" s="36">
        <v>2.5</v>
      </c>
      <c r="AE41" s="36">
        <v>2.58</v>
      </c>
      <c r="AF41" s="42">
        <v>2.63</v>
      </c>
      <c r="AG41" s="43">
        <f t="shared" si="6"/>
        <v>69.784172661870514</v>
      </c>
      <c r="AH41" s="166">
        <v>2.2000000000000002</v>
      </c>
      <c r="AI41" s="166"/>
      <c r="AJ41" s="166">
        <v>2.2799999999999998</v>
      </c>
      <c r="AK41" s="166">
        <v>2.2799999999999998</v>
      </c>
      <c r="AL41" s="166">
        <v>2.3199999999999998</v>
      </c>
      <c r="AM41" s="36"/>
      <c r="AN41" s="36">
        <v>2.16</v>
      </c>
      <c r="AO41" s="36">
        <v>2.12</v>
      </c>
      <c r="AP41" s="42">
        <v>2.21</v>
      </c>
      <c r="AQ41" s="43">
        <f t="shared" si="9"/>
        <v>30.215827338129486</v>
      </c>
      <c r="AR41" s="44">
        <v>0.28000000000000003</v>
      </c>
      <c r="AS41" s="166">
        <v>0.36</v>
      </c>
      <c r="AT41" s="166" t="s">
        <v>104</v>
      </c>
      <c r="AU41" s="166">
        <v>0.02</v>
      </c>
      <c r="AV41" s="166">
        <v>0.19</v>
      </c>
      <c r="AW41" s="166"/>
      <c r="AX41" s="166">
        <v>0.28999999999999998</v>
      </c>
      <c r="AY41" s="166">
        <v>0.31</v>
      </c>
      <c r="AZ41" s="166">
        <v>75.900000000000006</v>
      </c>
      <c r="BA41" s="166" t="s">
        <v>86</v>
      </c>
      <c r="BB41" s="36">
        <v>811</v>
      </c>
      <c r="BC41" s="36">
        <v>77</v>
      </c>
      <c r="BD41" s="36">
        <v>80</v>
      </c>
      <c r="BE41" s="36">
        <v>0.22</v>
      </c>
      <c r="BF41" s="36">
        <v>0.13</v>
      </c>
      <c r="BG41" s="36"/>
      <c r="BH41" s="36"/>
      <c r="BI41" s="36"/>
      <c r="BJ41" s="36"/>
      <c r="BK41" s="36">
        <v>0.3</v>
      </c>
      <c r="BL41" s="45">
        <v>3.36</v>
      </c>
      <c r="BM41" s="36">
        <v>2.1</v>
      </c>
      <c r="BN41" s="36">
        <v>3.38</v>
      </c>
      <c r="BO41" s="63">
        <v>70</v>
      </c>
      <c r="BP41" s="98">
        <v>74</v>
      </c>
      <c r="BQ41" s="43">
        <f t="shared" si="7"/>
        <v>1.6095238095238094</v>
      </c>
      <c r="BR41" s="47">
        <f t="shared" si="8"/>
        <v>0.99408284023668636</v>
      </c>
      <c r="BS41" s="45">
        <v>1.68</v>
      </c>
      <c r="BT41" s="166">
        <v>4.07</v>
      </c>
      <c r="BU41" s="166">
        <v>1.38</v>
      </c>
      <c r="BV41" s="166"/>
      <c r="BW41" s="166"/>
      <c r="BX41" s="166"/>
      <c r="BY41" s="166"/>
      <c r="BZ41" s="166">
        <v>21.3</v>
      </c>
      <c r="CA41" s="166">
        <v>22.3</v>
      </c>
      <c r="CB41" s="166"/>
      <c r="CC41" s="166">
        <v>0.32</v>
      </c>
      <c r="CD41" s="36">
        <v>0.18</v>
      </c>
      <c r="CE41" s="36">
        <v>2.3199999999999998</v>
      </c>
      <c r="CF41" s="36"/>
      <c r="CG41" s="36"/>
      <c r="CH41" s="36">
        <v>2.2599999999999998</v>
      </c>
      <c r="CI41" s="36"/>
      <c r="CJ41" s="165">
        <v>2.2799999999999998</v>
      </c>
      <c r="CK41" s="238" t="s">
        <v>594</v>
      </c>
      <c r="CL41" s="239"/>
      <c r="CM41" s="36" t="s">
        <v>466</v>
      </c>
      <c r="CN41" s="36" t="s">
        <v>328</v>
      </c>
      <c r="CO41" s="36">
        <v>3.7999999999999999E-2</v>
      </c>
      <c r="CP41" s="36">
        <v>0.01</v>
      </c>
      <c r="CQ41" s="36">
        <v>2.7</v>
      </c>
      <c r="CR41" s="36">
        <v>29.9</v>
      </c>
      <c r="CS41" s="36">
        <v>3.7</v>
      </c>
      <c r="CT41" s="36">
        <v>106</v>
      </c>
      <c r="CU41" s="36">
        <v>4.8</v>
      </c>
      <c r="CV41" s="61">
        <v>18.600000000000001</v>
      </c>
      <c r="CW41" s="166">
        <v>355</v>
      </c>
      <c r="CX41" s="66">
        <v>1.96</v>
      </c>
      <c r="CY41" s="66" t="s">
        <v>100</v>
      </c>
      <c r="CZ41" s="66">
        <v>0.48</v>
      </c>
      <c r="DA41" s="66">
        <v>0.8</v>
      </c>
      <c r="DB41" s="66">
        <v>0.32</v>
      </c>
      <c r="DC41" s="36">
        <v>0.52</v>
      </c>
      <c r="DD41" s="36">
        <v>26.5</v>
      </c>
      <c r="DE41" s="36" t="s">
        <v>104</v>
      </c>
      <c r="DF41" s="36">
        <v>0.01</v>
      </c>
      <c r="DG41" s="36">
        <v>0.01</v>
      </c>
      <c r="DH41" s="61">
        <v>204</v>
      </c>
      <c r="DI41" s="36">
        <v>1564</v>
      </c>
      <c r="DJ41" s="36">
        <v>5338</v>
      </c>
      <c r="DK41" s="36">
        <v>5372</v>
      </c>
      <c r="DL41" s="36" t="s">
        <v>86</v>
      </c>
      <c r="DM41" s="36"/>
      <c r="DN41" s="36"/>
      <c r="DO41" s="36"/>
      <c r="DP41" s="36"/>
      <c r="DQ41" s="36"/>
      <c r="DR41" s="36"/>
      <c r="DS41" s="36"/>
      <c r="DT41" s="36"/>
      <c r="DU41" s="36"/>
    </row>
    <row r="42" spans="1:212" s="48" customFormat="1" ht="16.5" customHeight="1" x14ac:dyDescent="0.3">
      <c r="A42" s="34"/>
      <c r="B42" s="74" t="s">
        <v>102</v>
      </c>
      <c r="C42" s="36">
        <v>2.87</v>
      </c>
      <c r="D42" s="36">
        <v>3.81</v>
      </c>
      <c r="E42" s="36">
        <v>0.82</v>
      </c>
      <c r="F42" s="36">
        <v>1.41</v>
      </c>
      <c r="G42" s="36">
        <v>2.76</v>
      </c>
      <c r="H42" s="36">
        <v>3.64</v>
      </c>
      <c r="I42" s="36">
        <v>2.54</v>
      </c>
      <c r="J42" s="36">
        <v>2.23</v>
      </c>
      <c r="K42" s="37">
        <f t="shared" si="0"/>
        <v>4.7699999999999996</v>
      </c>
      <c r="L42" s="37">
        <v>5.72</v>
      </c>
      <c r="M42" s="36">
        <v>3.49</v>
      </c>
      <c r="N42" s="36">
        <v>3.33</v>
      </c>
      <c r="O42" s="36">
        <v>2.14</v>
      </c>
      <c r="P42" s="37">
        <f t="shared" si="1"/>
        <v>5.4700000000000006</v>
      </c>
      <c r="Q42" s="36">
        <v>5.56</v>
      </c>
      <c r="R42" s="36">
        <v>3.42</v>
      </c>
      <c r="S42" s="38">
        <f t="shared" si="2"/>
        <v>3.5000000000000004</v>
      </c>
      <c r="T42" s="38">
        <f t="shared" si="3"/>
        <v>0.97368421052631582</v>
      </c>
      <c r="U42" s="38">
        <f t="shared" si="10"/>
        <v>1.5650224215246638</v>
      </c>
      <c r="V42" s="39">
        <f t="shared" si="4"/>
        <v>0.5714285714285714</v>
      </c>
      <c r="W42" s="39">
        <f t="shared" si="5"/>
        <v>0.98381294964028798</v>
      </c>
      <c r="X42" s="168">
        <v>2.66</v>
      </c>
      <c r="Y42" s="168">
        <v>2.5</v>
      </c>
      <c r="Z42" s="168">
        <v>2.7</v>
      </c>
      <c r="AA42" s="168">
        <v>2.82</v>
      </c>
      <c r="AB42" s="168">
        <v>2.78</v>
      </c>
      <c r="AC42" s="36"/>
      <c r="AD42" s="36">
        <v>2.56</v>
      </c>
      <c r="AE42" s="36">
        <v>2.46</v>
      </c>
      <c r="AF42" s="42">
        <v>2.62</v>
      </c>
      <c r="AG42" s="43">
        <f t="shared" si="6"/>
        <v>69.841269841269849</v>
      </c>
      <c r="AH42" s="168">
        <v>2.34</v>
      </c>
      <c r="AI42" s="168">
        <v>2.2799999999999998</v>
      </c>
      <c r="AJ42" s="168"/>
      <c r="AK42" s="168">
        <v>2.2400000000000002</v>
      </c>
      <c r="AL42" s="168">
        <v>2.2799999999999998</v>
      </c>
      <c r="AM42" s="36"/>
      <c r="AN42" s="36">
        <v>2.2000000000000002</v>
      </c>
      <c r="AO42" s="36">
        <v>2.14</v>
      </c>
      <c r="AP42" s="42">
        <v>2.2400000000000002</v>
      </c>
      <c r="AQ42" s="43">
        <f t="shared" si="9"/>
        <v>30.158730158730158</v>
      </c>
      <c r="AR42" s="44">
        <v>0.26</v>
      </c>
      <c r="AS42" s="168">
        <v>0.35</v>
      </c>
      <c r="AT42" s="168" t="s">
        <v>104</v>
      </c>
      <c r="AU42" s="168">
        <v>0.13</v>
      </c>
      <c r="AV42" s="168" t="s">
        <v>104</v>
      </c>
      <c r="AW42" s="168" t="s">
        <v>104</v>
      </c>
      <c r="AX42" s="168">
        <v>0.43</v>
      </c>
      <c r="AY42" s="168">
        <v>0.22</v>
      </c>
      <c r="AZ42" s="168">
        <v>78.8</v>
      </c>
      <c r="BA42" s="168" t="s">
        <v>86</v>
      </c>
      <c r="BB42" s="36">
        <v>1256</v>
      </c>
      <c r="BC42" s="36">
        <v>113</v>
      </c>
      <c r="BD42" s="36">
        <v>181</v>
      </c>
      <c r="BE42" s="36">
        <v>0.25</v>
      </c>
      <c r="BF42" s="36">
        <v>0.12</v>
      </c>
      <c r="BG42" s="36"/>
      <c r="BH42" s="36"/>
      <c r="BI42" s="36"/>
      <c r="BJ42" s="36"/>
      <c r="BK42" s="36">
        <v>0.28000000000000003</v>
      </c>
      <c r="BL42" s="45">
        <v>3.52</v>
      </c>
      <c r="BM42" s="36">
        <v>2.06</v>
      </c>
      <c r="BN42" s="36">
        <v>3.46</v>
      </c>
      <c r="BO42" s="63">
        <v>53</v>
      </c>
      <c r="BP42" s="98">
        <v>72</v>
      </c>
      <c r="BQ42" s="43">
        <f t="shared" si="7"/>
        <v>1.6796116504854368</v>
      </c>
      <c r="BR42" s="47">
        <f t="shared" si="8"/>
        <v>1.0173410404624277</v>
      </c>
      <c r="BS42" s="45">
        <v>1.78</v>
      </c>
      <c r="BT42" s="168">
        <v>3.85</v>
      </c>
      <c r="BU42" s="168">
        <v>1.38</v>
      </c>
      <c r="BV42" s="168"/>
      <c r="BW42" s="168"/>
      <c r="BX42" s="168">
        <v>19.8</v>
      </c>
      <c r="BY42" s="168">
        <v>24.2</v>
      </c>
      <c r="BZ42" s="168"/>
      <c r="CA42" s="168"/>
      <c r="CB42" s="168"/>
      <c r="CC42" s="168">
        <v>0.2</v>
      </c>
      <c r="CD42" s="36">
        <v>0.02</v>
      </c>
      <c r="CE42" s="36">
        <v>2.42</v>
      </c>
      <c r="CF42" s="36"/>
      <c r="CG42" s="36"/>
      <c r="CH42" s="36">
        <v>2.2599999999999998</v>
      </c>
      <c r="CI42" s="36"/>
      <c r="CJ42" s="167">
        <v>2.1</v>
      </c>
      <c r="CK42" s="238" t="s">
        <v>595</v>
      </c>
      <c r="CL42" s="239"/>
      <c r="CM42" s="36" t="s">
        <v>575</v>
      </c>
      <c r="CN42" s="36" t="s">
        <v>596</v>
      </c>
      <c r="CO42" s="36">
        <v>3.5000000000000003E-2</v>
      </c>
      <c r="CP42" s="36">
        <v>8.0000000000000002E-3</v>
      </c>
      <c r="CQ42" s="36"/>
      <c r="CR42" s="36"/>
      <c r="CS42" s="36"/>
      <c r="CT42" s="36"/>
      <c r="CU42" s="36">
        <v>3.4</v>
      </c>
      <c r="CV42" s="61">
        <v>70.5</v>
      </c>
      <c r="CW42" s="168"/>
      <c r="CX42" s="66"/>
      <c r="CY42" s="66"/>
      <c r="CZ42" s="66"/>
      <c r="DA42" s="66"/>
      <c r="DB42" s="66"/>
      <c r="DC42" s="36"/>
      <c r="DD42" s="36"/>
      <c r="DE42" s="36"/>
      <c r="DF42" s="36"/>
      <c r="DG42" s="36"/>
      <c r="DH42" s="61">
        <v>2720</v>
      </c>
      <c r="DI42" s="36">
        <v>2788</v>
      </c>
      <c r="DJ42" s="36">
        <v>3060</v>
      </c>
      <c r="DK42" s="36">
        <v>2992</v>
      </c>
      <c r="DL42" s="36" t="s">
        <v>86</v>
      </c>
      <c r="DM42" s="36">
        <v>0</v>
      </c>
      <c r="DN42" s="36">
        <v>2.6</v>
      </c>
      <c r="DO42" s="36">
        <v>25.7</v>
      </c>
      <c r="DP42" s="36">
        <v>19.5</v>
      </c>
      <c r="DQ42" s="36">
        <v>27.7</v>
      </c>
      <c r="DR42" s="36">
        <v>24.2</v>
      </c>
      <c r="DS42" s="36">
        <v>217</v>
      </c>
      <c r="DT42" s="36"/>
      <c r="DU42" s="36"/>
    </row>
    <row r="43" spans="1:212" s="48" customFormat="1" ht="16.5" customHeight="1" x14ac:dyDescent="0.3">
      <c r="A43" s="34"/>
      <c r="B43" s="74" t="s">
        <v>103</v>
      </c>
      <c r="C43" s="36">
        <v>3.07</v>
      </c>
      <c r="D43" s="36">
        <v>3.67</v>
      </c>
      <c r="E43" s="36">
        <v>0.78</v>
      </c>
      <c r="F43" s="36">
        <v>1.49</v>
      </c>
      <c r="G43" s="36">
        <v>2.76</v>
      </c>
      <c r="H43" s="36">
        <v>3.64</v>
      </c>
      <c r="I43" s="36">
        <v>2.56</v>
      </c>
      <c r="J43" s="36">
        <v>2.2400000000000002</v>
      </c>
      <c r="K43" s="37">
        <f t="shared" si="0"/>
        <v>4.8000000000000007</v>
      </c>
      <c r="L43" s="37">
        <v>5.71</v>
      </c>
      <c r="M43" s="36">
        <v>3.47</v>
      </c>
      <c r="N43" s="36">
        <v>3.23</v>
      </c>
      <c r="O43" s="36">
        <v>2.17</v>
      </c>
      <c r="P43" s="37">
        <f t="shared" si="1"/>
        <v>5.4</v>
      </c>
      <c r="Q43" s="36">
        <v>5.56</v>
      </c>
      <c r="R43" s="36">
        <v>3.39</v>
      </c>
      <c r="S43" s="38">
        <f t="shared" si="2"/>
        <v>3.9358974358974357</v>
      </c>
      <c r="T43" s="38">
        <f t="shared" si="3"/>
        <v>0.9528023598820059</v>
      </c>
      <c r="U43" s="38">
        <f t="shared" si="10"/>
        <v>1.5491071428571428</v>
      </c>
      <c r="V43" s="39">
        <f t="shared" si="4"/>
        <v>0.50814332247557004</v>
      </c>
      <c r="W43" s="39">
        <f t="shared" si="5"/>
        <v>0.97122302158273399</v>
      </c>
      <c r="X43" s="170"/>
      <c r="Y43" s="170"/>
      <c r="Z43" s="170"/>
      <c r="AA43" s="170"/>
      <c r="AB43" s="170"/>
      <c r="AC43" s="36"/>
      <c r="AD43" s="36"/>
      <c r="AE43" s="36"/>
      <c r="AF43" s="42"/>
      <c r="AG43" s="43">
        <f t="shared" si="6"/>
        <v>0</v>
      </c>
      <c r="AH43" s="170"/>
      <c r="AI43" s="170"/>
      <c r="AJ43" s="170"/>
      <c r="AK43" s="170"/>
      <c r="AL43" s="170"/>
      <c r="AM43" s="36"/>
      <c r="AN43" s="36"/>
      <c r="AO43" s="36"/>
      <c r="AP43" s="42"/>
      <c r="AQ43" s="43">
        <f t="shared" si="9"/>
        <v>0</v>
      </c>
      <c r="AR43" s="44">
        <v>0.12</v>
      </c>
      <c r="AS43" s="170">
        <v>0.18</v>
      </c>
      <c r="AT43" s="170" t="s">
        <v>104</v>
      </c>
      <c r="AU43" s="170">
        <v>0.27</v>
      </c>
      <c r="AV43" s="170">
        <v>0.28000000000000003</v>
      </c>
      <c r="AW43" s="170" t="s">
        <v>104</v>
      </c>
      <c r="AX43" s="170">
        <v>0.36</v>
      </c>
      <c r="AY43" s="170">
        <v>0.11</v>
      </c>
      <c r="AZ43" s="170">
        <v>75.7</v>
      </c>
      <c r="BA43" s="170" t="s">
        <v>86</v>
      </c>
      <c r="BB43" s="36">
        <v>1086</v>
      </c>
      <c r="BC43" s="36">
        <v>96</v>
      </c>
      <c r="BD43" s="36">
        <v>82</v>
      </c>
      <c r="BE43" s="36">
        <v>0.24</v>
      </c>
      <c r="BF43" s="36">
        <v>0.12</v>
      </c>
      <c r="BG43" s="36"/>
      <c r="BH43" s="36"/>
      <c r="BI43" s="36"/>
      <c r="BJ43" s="36"/>
      <c r="BK43" s="36">
        <v>0.34</v>
      </c>
      <c r="BL43" s="45">
        <v>3.18</v>
      </c>
      <c r="BM43" s="36">
        <v>2.1</v>
      </c>
      <c r="BN43" s="36">
        <v>3.46</v>
      </c>
      <c r="BO43" s="63">
        <v>72</v>
      </c>
      <c r="BP43" s="98">
        <v>122</v>
      </c>
      <c r="BQ43" s="43">
        <f t="shared" si="7"/>
        <v>1.6476190476190475</v>
      </c>
      <c r="BR43" s="47">
        <f t="shared" si="8"/>
        <v>0.91907514450867056</v>
      </c>
      <c r="BS43" s="45">
        <v>1.91</v>
      </c>
      <c r="BT43" s="170">
        <v>3.84</v>
      </c>
      <c r="BU43" s="170">
        <v>1.44</v>
      </c>
      <c r="BV43" s="170"/>
      <c r="BW43" s="170"/>
      <c r="BX43" s="170">
        <v>23.7</v>
      </c>
      <c r="BY43" s="170">
        <v>24.2</v>
      </c>
      <c r="BZ43" s="170"/>
      <c r="CA43" s="170"/>
      <c r="CB43" s="170"/>
      <c r="CC43" s="170">
        <v>0.45</v>
      </c>
      <c r="CD43" s="36">
        <v>0</v>
      </c>
      <c r="CE43" s="36">
        <v>2.36</v>
      </c>
      <c r="CF43" s="36" t="s">
        <v>104</v>
      </c>
      <c r="CG43" s="36" t="s">
        <v>104</v>
      </c>
      <c r="CH43" s="36">
        <v>2.48</v>
      </c>
      <c r="CI43" s="36" t="s">
        <v>104</v>
      </c>
      <c r="CJ43" s="169">
        <v>2.3199999999999998</v>
      </c>
      <c r="CK43" s="238" t="s">
        <v>355</v>
      </c>
      <c r="CL43" s="239"/>
      <c r="CM43" s="36" t="s">
        <v>114</v>
      </c>
      <c r="CN43" s="36" t="s">
        <v>597</v>
      </c>
      <c r="CO43" s="36">
        <v>3.5000000000000003E-2</v>
      </c>
      <c r="CP43" s="36">
        <v>8.0000000000000002E-3</v>
      </c>
      <c r="CQ43" s="36"/>
      <c r="CR43" s="36"/>
      <c r="CS43" s="36"/>
      <c r="CT43" s="36"/>
      <c r="CU43" s="36">
        <v>4.0999999999999996</v>
      </c>
      <c r="CV43" s="61">
        <v>44.5</v>
      </c>
      <c r="CW43" s="170"/>
      <c r="CX43" s="66"/>
      <c r="CY43" s="66"/>
      <c r="CZ43" s="66"/>
      <c r="DA43" s="66"/>
      <c r="DB43" s="66"/>
      <c r="DC43" s="36"/>
      <c r="DD43" s="36"/>
      <c r="DE43" s="36"/>
      <c r="DF43" s="36"/>
      <c r="DG43" s="36"/>
      <c r="DH43" s="61" t="s">
        <v>104</v>
      </c>
      <c r="DI43" s="36" t="s">
        <v>104</v>
      </c>
      <c r="DJ43" s="36">
        <v>3944</v>
      </c>
      <c r="DK43" s="36">
        <v>2720</v>
      </c>
      <c r="DL43" s="36" t="s">
        <v>86</v>
      </c>
      <c r="DM43" s="36"/>
      <c r="DN43" s="36"/>
      <c r="DO43" s="36"/>
      <c r="DP43" s="36"/>
      <c r="DQ43" s="36"/>
      <c r="DR43" s="36"/>
      <c r="DS43" s="36"/>
      <c r="DT43" s="36"/>
      <c r="DU43" s="36"/>
    </row>
    <row r="44" spans="1:212" s="48" customFormat="1" ht="16.5" customHeight="1" x14ac:dyDescent="0.3">
      <c r="A44" s="34">
        <v>46279</v>
      </c>
      <c r="B44" s="74" t="s">
        <v>85</v>
      </c>
      <c r="C44" s="36">
        <v>2.66</v>
      </c>
      <c r="D44" s="36">
        <v>4.03</v>
      </c>
      <c r="E44" s="36">
        <v>0.75</v>
      </c>
      <c r="F44" s="36">
        <v>1.35</v>
      </c>
      <c r="G44" s="36">
        <v>2.92</v>
      </c>
      <c r="H44" s="36">
        <v>3.6</v>
      </c>
      <c r="I44" s="36">
        <v>2.67</v>
      </c>
      <c r="J44" s="36">
        <v>2.1800000000000002</v>
      </c>
      <c r="K44" s="37">
        <f t="shared" si="0"/>
        <v>4.8499999999999996</v>
      </c>
      <c r="L44" s="37">
        <v>5.66</v>
      </c>
      <c r="M44" s="36">
        <v>3.48</v>
      </c>
      <c r="N44" s="36">
        <v>3.42</v>
      </c>
      <c r="O44" s="36">
        <v>2.12</v>
      </c>
      <c r="P44" s="37">
        <f t="shared" si="1"/>
        <v>5.54</v>
      </c>
      <c r="Q44" s="36">
        <v>5.55</v>
      </c>
      <c r="R44" s="36">
        <v>3.43</v>
      </c>
      <c r="S44" s="38">
        <f t="shared" si="2"/>
        <v>3.5466666666666669</v>
      </c>
      <c r="T44" s="38">
        <f t="shared" si="3"/>
        <v>0.99708454810495617</v>
      </c>
      <c r="U44" s="38">
        <f t="shared" si="10"/>
        <v>1.5963302752293578</v>
      </c>
      <c r="V44" s="39">
        <f t="shared" si="4"/>
        <v>0.56390977443609025</v>
      </c>
      <c r="W44" s="39">
        <f t="shared" si="5"/>
        <v>0.99819819819819822</v>
      </c>
      <c r="X44" s="172">
        <v>2.54</v>
      </c>
      <c r="Y44" s="172">
        <v>2.52</v>
      </c>
      <c r="Z44" s="172">
        <v>2.6</v>
      </c>
      <c r="AA44" s="172">
        <v>2.66</v>
      </c>
      <c r="AB44" s="172">
        <v>2.62</v>
      </c>
      <c r="AC44" s="36">
        <v>2.58</v>
      </c>
      <c r="AD44" s="36">
        <v>2.6</v>
      </c>
      <c r="AE44" s="36">
        <v>2.6</v>
      </c>
      <c r="AF44" s="42">
        <v>2.59</v>
      </c>
      <c r="AG44" s="43">
        <f t="shared" si="6"/>
        <v>71.917808219178099</v>
      </c>
      <c r="AH44" s="172">
        <v>2.36</v>
      </c>
      <c r="AI44" s="172">
        <v>2.2200000000000002</v>
      </c>
      <c r="AJ44" s="172" t="s">
        <v>100</v>
      </c>
      <c r="AK44" s="172">
        <v>2.1</v>
      </c>
      <c r="AL44" s="172">
        <v>2.16</v>
      </c>
      <c r="AM44" s="36" t="s">
        <v>100</v>
      </c>
      <c r="AN44" s="36">
        <v>2.08</v>
      </c>
      <c r="AO44" s="36">
        <v>2.14</v>
      </c>
      <c r="AP44" s="42">
        <v>2.1800000000000002</v>
      </c>
      <c r="AQ44" s="43">
        <f t="shared" si="9"/>
        <v>28.082191780821898</v>
      </c>
      <c r="AR44" s="44">
        <v>0.15</v>
      </c>
      <c r="AS44" s="172">
        <v>0.4</v>
      </c>
      <c r="AT44" s="172" t="s">
        <v>100</v>
      </c>
      <c r="AU44" s="172">
        <v>0.15</v>
      </c>
      <c r="AV44" s="172">
        <v>0.23</v>
      </c>
      <c r="AW44" s="172" t="s">
        <v>100</v>
      </c>
      <c r="AX44" s="172">
        <v>0.32</v>
      </c>
      <c r="AY44" s="172">
        <v>0.16</v>
      </c>
      <c r="AZ44" s="172">
        <v>69.2</v>
      </c>
      <c r="BA44" s="172" t="s">
        <v>86</v>
      </c>
      <c r="BB44" s="36">
        <v>650</v>
      </c>
      <c r="BC44" s="36">
        <v>92</v>
      </c>
      <c r="BD44" s="36">
        <v>97</v>
      </c>
      <c r="BE44" s="36">
        <v>0.24</v>
      </c>
      <c r="BF44" s="36">
        <v>0.11</v>
      </c>
      <c r="BG44" s="36"/>
      <c r="BH44" s="36"/>
      <c r="BI44" s="36"/>
      <c r="BJ44" s="36"/>
      <c r="BK44" s="36">
        <v>0.31</v>
      </c>
      <c r="BL44" s="45">
        <v>3.44</v>
      </c>
      <c r="BM44" s="36">
        <v>2.08</v>
      </c>
      <c r="BN44" s="36">
        <v>3.44</v>
      </c>
      <c r="BO44" s="63">
        <v>75</v>
      </c>
      <c r="BP44" s="98">
        <v>91</v>
      </c>
      <c r="BQ44" s="43">
        <f t="shared" si="7"/>
        <v>1.6538461538461537</v>
      </c>
      <c r="BR44" s="47">
        <f t="shared" si="8"/>
        <v>1</v>
      </c>
      <c r="BS44" s="45">
        <v>1.66</v>
      </c>
      <c r="BT44" s="172">
        <v>4.0999999999999996</v>
      </c>
      <c r="BU44" s="172">
        <v>1.4</v>
      </c>
      <c r="BV44" s="172"/>
      <c r="BW44" s="172"/>
      <c r="BX44" s="172">
        <v>23.7</v>
      </c>
      <c r="BY44" s="172">
        <v>22.3</v>
      </c>
      <c r="BZ44" s="172"/>
      <c r="CA44" s="172"/>
      <c r="CB44" s="172"/>
      <c r="CC44" s="172">
        <v>0.23</v>
      </c>
      <c r="CD44" s="36">
        <v>0.1</v>
      </c>
      <c r="CE44" s="36">
        <v>2.46</v>
      </c>
      <c r="CF44" s="36">
        <v>2.42</v>
      </c>
      <c r="CG44" s="36" t="s">
        <v>100</v>
      </c>
      <c r="CH44" s="36">
        <v>2.4</v>
      </c>
      <c r="CI44" s="36" t="s">
        <v>100</v>
      </c>
      <c r="CJ44" s="171" t="s">
        <v>100</v>
      </c>
      <c r="CK44" s="238" t="s">
        <v>599</v>
      </c>
      <c r="CL44" s="239"/>
      <c r="CM44" s="36" t="s">
        <v>139</v>
      </c>
      <c r="CN44" s="36" t="s">
        <v>600</v>
      </c>
      <c r="CO44" s="36">
        <v>3.5999999999999997E-2</v>
      </c>
      <c r="CP44" s="36">
        <v>8.9999999999999993E-3</v>
      </c>
      <c r="CQ44" s="36">
        <v>2.6</v>
      </c>
      <c r="CR44" s="36">
        <v>21.8</v>
      </c>
      <c r="CS44" s="36">
        <v>5.8</v>
      </c>
      <c r="CT44" s="36">
        <v>691</v>
      </c>
      <c r="CU44" s="36">
        <v>2</v>
      </c>
      <c r="CV44" s="61">
        <v>64.7</v>
      </c>
      <c r="CW44" s="172">
        <v>602</v>
      </c>
      <c r="CX44" s="66">
        <v>0.72</v>
      </c>
      <c r="CY44" s="66" t="s">
        <v>100</v>
      </c>
      <c r="CZ44" s="66">
        <v>0.56000000000000005</v>
      </c>
      <c r="DA44" s="66">
        <v>0.3</v>
      </c>
      <c r="DB44" s="66">
        <v>0.26</v>
      </c>
      <c r="DC44" s="36">
        <v>0.54</v>
      </c>
      <c r="DD44" s="36">
        <v>21.2</v>
      </c>
      <c r="DE44" s="36" t="s">
        <v>100</v>
      </c>
      <c r="DF44" s="36">
        <v>0.01</v>
      </c>
      <c r="DG44" s="36">
        <v>0.01</v>
      </c>
      <c r="DH44" s="61" t="s">
        <v>100</v>
      </c>
      <c r="DI44" s="36" t="s">
        <v>100</v>
      </c>
      <c r="DJ44" s="36">
        <v>6664</v>
      </c>
      <c r="DK44" s="36">
        <v>4284</v>
      </c>
      <c r="DL44" s="36" t="s">
        <v>86</v>
      </c>
      <c r="DM44" s="36"/>
      <c r="DN44" s="36"/>
      <c r="DO44" s="36"/>
      <c r="DP44" s="36"/>
      <c r="DQ44" s="36"/>
      <c r="DR44" s="36"/>
      <c r="DS44" s="36"/>
      <c r="DT44" s="36"/>
      <c r="DU44" s="36"/>
    </row>
    <row r="45" spans="1:212" s="48" customFormat="1" ht="16.5" customHeight="1" x14ac:dyDescent="0.3">
      <c r="A45" s="34"/>
      <c r="B45" s="74" t="s">
        <v>102</v>
      </c>
      <c r="C45" s="36">
        <v>2.85</v>
      </c>
      <c r="D45" s="36">
        <v>3.87</v>
      </c>
      <c r="E45" s="36">
        <v>0.78</v>
      </c>
      <c r="F45" s="36">
        <v>1.3</v>
      </c>
      <c r="G45" s="36">
        <v>2.52</v>
      </c>
      <c r="H45" s="36">
        <v>3.6</v>
      </c>
      <c r="I45" s="36">
        <v>2.66</v>
      </c>
      <c r="J45" s="36">
        <v>2.2200000000000002</v>
      </c>
      <c r="K45" s="37">
        <f t="shared" si="0"/>
        <v>4.8800000000000008</v>
      </c>
      <c r="L45" s="37">
        <v>5.67</v>
      </c>
      <c r="M45" s="36">
        <v>3.45</v>
      </c>
      <c r="N45" s="36">
        <v>3.62</v>
      </c>
      <c r="O45" s="36">
        <v>2.15</v>
      </c>
      <c r="P45" s="37">
        <f t="shared" si="1"/>
        <v>5.77</v>
      </c>
      <c r="Q45" s="36">
        <v>5.51</v>
      </c>
      <c r="R45" s="36">
        <v>3.36</v>
      </c>
      <c r="S45" s="38">
        <f t="shared" si="2"/>
        <v>3.6538461538461537</v>
      </c>
      <c r="T45" s="38">
        <f t="shared" si="3"/>
        <v>1.0773809523809526</v>
      </c>
      <c r="U45" s="38">
        <f t="shared" si="10"/>
        <v>1.5540540540540539</v>
      </c>
      <c r="V45" s="39">
        <f t="shared" si="4"/>
        <v>0.54736842105263162</v>
      </c>
      <c r="W45" s="39">
        <f t="shared" si="5"/>
        <v>1.0471869328493648</v>
      </c>
      <c r="X45" s="174">
        <v>2.74</v>
      </c>
      <c r="Y45" s="174">
        <v>2.6</v>
      </c>
      <c r="Z45" s="174">
        <v>2.72</v>
      </c>
      <c r="AA45" s="174">
        <v>2.9</v>
      </c>
      <c r="AB45" s="174">
        <v>2.76</v>
      </c>
      <c r="AC45" s="36">
        <v>2.6</v>
      </c>
      <c r="AD45" s="36">
        <v>2.64</v>
      </c>
      <c r="AE45" s="36">
        <v>2.8</v>
      </c>
      <c r="AF45" s="42">
        <v>2.73</v>
      </c>
      <c r="AG45" s="43">
        <f t="shared" si="6"/>
        <v>62.142857142857153</v>
      </c>
      <c r="AH45" s="174">
        <v>2.2000000000000002</v>
      </c>
      <c r="AI45" s="174">
        <v>2.3199999999999998</v>
      </c>
      <c r="AJ45" s="174" t="s">
        <v>100</v>
      </c>
      <c r="AK45" s="174">
        <v>2.1800000000000002</v>
      </c>
      <c r="AL45" s="174">
        <v>2.2799999999999998</v>
      </c>
      <c r="AM45" s="36" t="s">
        <v>100</v>
      </c>
      <c r="AN45" s="36">
        <v>2.2000000000000002</v>
      </c>
      <c r="AO45" s="36">
        <v>2.2200000000000002</v>
      </c>
      <c r="AP45" s="42">
        <v>2.2000000000000002</v>
      </c>
      <c r="AQ45" s="43">
        <f t="shared" si="9"/>
        <v>37.857142857142847</v>
      </c>
      <c r="AR45" s="44">
        <v>0.24</v>
      </c>
      <c r="AS45" s="174">
        <v>0.3</v>
      </c>
      <c r="AT45" s="174" t="s">
        <v>100</v>
      </c>
      <c r="AU45" s="174">
        <v>0.09</v>
      </c>
      <c r="AV45" s="174">
        <v>0.23</v>
      </c>
      <c r="AW45" s="174" t="s">
        <v>100</v>
      </c>
      <c r="AX45" s="174">
        <v>0.37</v>
      </c>
      <c r="AY45" s="174">
        <v>0.18</v>
      </c>
      <c r="AZ45" s="174">
        <v>70.5</v>
      </c>
      <c r="BA45" s="174" t="s">
        <v>86</v>
      </c>
      <c r="BB45" s="36">
        <v>562</v>
      </c>
      <c r="BC45" s="36">
        <v>157</v>
      </c>
      <c r="BD45" s="36">
        <v>164</v>
      </c>
      <c r="BE45" s="36">
        <v>0.26</v>
      </c>
      <c r="BF45" s="36">
        <v>0.12</v>
      </c>
      <c r="BG45" s="36"/>
      <c r="BH45" s="36"/>
      <c r="BI45" s="36"/>
      <c r="BJ45" s="36"/>
      <c r="BK45" s="36">
        <v>0.3</v>
      </c>
      <c r="BL45" s="45">
        <v>3.2</v>
      </c>
      <c r="BM45" s="36">
        <v>2.06</v>
      </c>
      <c r="BN45" s="36">
        <v>3.48</v>
      </c>
      <c r="BO45" s="63">
        <v>59</v>
      </c>
      <c r="BP45" s="98">
        <v>181</v>
      </c>
      <c r="BQ45" s="43">
        <f t="shared" si="7"/>
        <v>1.6893203883495145</v>
      </c>
      <c r="BR45" s="47">
        <f t="shared" si="8"/>
        <v>0.91954022988505757</v>
      </c>
      <c r="BS45" s="45">
        <v>1.95</v>
      </c>
      <c r="BT45" s="174">
        <v>3.99</v>
      </c>
      <c r="BU45" s="174">
        <v>1.4</v>
      </c>
      <c r="BV45" s="174"/>
      <c r="BW45" s="174"/>
      <c r="BX45" s="174"/>
      <c r="BY45" s="174"/>
      <c r="BZ45" s="174">
        <v>26.3</v>
      </c>
      <c r="CA45" s="174">
        <v>26.3</v>
      </c>
      <c r="CB45" s="174"/>
      <c r="CC45" s="174">
        <v>0.32</v>
      </c>
      <c r="CD45" s="36">
        <v>0.06</v>
      </c>
      <c r="CE45" s="36">
        <v>2.38</v>
      </c>
      <c r="CF45" s="36">
        <v>2.34</v>
      </c>
      <c r="CG45" s="36" t="s">
        <v>100</v>
      </c>
      <c r="CH45" s="36">
        <v>2.48</v>
      </c>
      <c r="CI45" s="36" t="s">
        <v>100</v>
      </c>
      <c r="CJ45" s="173" t="s">
        <v>100</v>
      </c>
      <c r="CK45" s="238" t="s">
        <v>601</v>
      </c>
      <c r="CL45" s="239"/>
      <c r="CM45" s="36" t="s">
        <v>142</v>
      </c>
      <c r="CN45" s="36" t="s">
        <v>602</v>
      </c>
      <c r="CO45" s="36">
        <v>3.5999999999999997E-2</v>
      </c>
      <c r="CP45" s="36">
        <v>8.0000000000000002E-3</v>
      </c>
      <c r="CQ45" s="36"/>
      <c r="CR45" s="36"/>
      <c r="CS45" s="36"/>
      <c r="CT45" s="36"/>
      <c r="CU45" s="36">
        <v>4.5999999999999996</v>
      </c>
      <c r="CV45" s="61">
        <v>17.3</v>
      </c>
      <c r="CW45" s="174"/>
      <c r="CX45" s="66"/>
      <c r="CY45" s="66"/>
      <c r="CZ45" s="66"/>
      <c r="DA45" s="66"/>
      <c r="DB45" s="66"/>
      <c r="DC45" s="36"/>
      <c r="DD45" s="36"/>
      <c r="DE45" s="36"/>
      <c r="DF45" s="36"/>
      <c r="DG45" s="36"/>
      <c r="DH45" s="61">
        <v>1020</v>
      </c>
      <c r="DI45" s="36">
        <v>2244</v>
      </c>
      <c r="DJ45" s="36">
        <v>5780</v>
      </c>
      <c r="DK45" s="36">
        <v>2720</v>
      </c>
      <c r="DL45" s="36" t="s">
        <v>86</v>
      </c>
      <c r="DM45" s="36"/>
      <c r="DN45" s="36">
        <v>2.5</v>
      </c>
      <c r="DO45" s="36">
        <v>26.4</v>
      </c>
      <c r="DP45" s="36">
        <v>17.5</v>
      </c>
      <c r="DQ45" s="36">
        <v>28.6</v>
      </c>
      <c r="DR45" s="36">
        <v>25</v>
      </c>
      <c r="DS45" s="36">
        <v>214</v>
      </c>
      <c r="DT45" s="36"/>
      <c r="DU45" s="36"/>
    </row>
    <row r="46" spans="1:212" s="48" customFormat="1" ht="16.5" customHeight="1" x14ac:dyDescent="0.3">
      <c r="A46" s="34"/>
      <c r="B46" s="74" t="s">
        <v>103</v>
      </c>
      <c r="C46" s="36">
        <v>3.33</v>
      </c>
      <c r="D46" s="36">
        <v>3.28</v>
      </c>
      <c r="E46" s="36">
        <v>0.84</v>
      </c>
      <c r="F46" s="36">
        <v>1.75</v>
      </c>
      <c r="G46" s="36">
        <v>2.52</v>
      </c>
      <c r="H46" s="36">
        <v>3.6</v>
      </c>
      <c r="I46" s="36">
        <v>2.65</v>
      </c>
      <c r="J46" s="36">
        <v>2.2999999999999998</v>
      </c>
      <c r="K46" s="37">
        <f t="shared" si="0"/>
        <v>4.9499999999999993</v>
      </c>
      <c r="L46" s="37">
        <v>5.7</v>
      </c>
      <c r="M46" s="36">
        <v>3.4</v>
      </c>
      <c r="N46" s="36">
        <v>3.66</v>
      </c>
      <c r="O46" s="36">
        <v>2.17</v>
      </c>
      <c r="P46" s="37">
        <f t="shared" si="1"/>
        <v>5.83</v>
      </c>
      <c r="Q46" s="36">
        <v>5.5</v>
      </c>
      <c r="R46" s="36">
        <v>3.33</v>
      </c>
      <c r="S46" s="38">
        <f t="shared" si="2"/>
        <v>3.9642857142857144</v>
      </c>
      <c r="T46" s="38">
        <f t="shared" si="3"/>
        <v>1.0990990990990992</v>
      </c>
      <c r="U46" s="38">
        <f t="shared" si="10"/>
        <v>1.4782608695652175</v>
      </c>
      <c r="V46" s="39">
        <f t="shared" si="4"/>
        <v>0.50450450450450446</v>
      </c>
      <c r="W46" s="39">
        <f t="shared" si="5"/>
        <v>1.06</v>
      </c>
      <c r="X46" s="176"/>
      <c r="Y46" s="176"/>
      <c r="Z46" s="176"/>
      <c r="AA46" s="176"/>
      <c r="AB46" s="176"/>
      <c r="AC46" s="36"/>
      <c r="AD46" s="36"/>
      <c r="AE46" s="36"/>
      <c r="AF46" s="42"/>
      <c r="AG46" s="43">
        <f t="shared" si="6"/>
        <v>0</v>
      </c>
      <c r="AH46" s="176"/>
      <c r="AI46" s="176"/>
      <c r="AJ46" s="176"/>
      <c r="AK46" s="176"/>
      <c r="AL46" s="176"/>
      <c r="AM46" s="36"/>
      <c r="AN46" s="36"/>
      <c r="AO46" s="36"/>
      <c r="AP46" s="42"/>
      <c r="AQ46" s="43">
        <f t="shared" si="9"/>
        <v>0</v>
      </c>
      <c r="AR46" s="44">
        <v>0.36</v>
      </c>
      <c r="AS46" s="176">
        <v>0.48</v>
      </c>
      <c r="AT46" s="176" t="s">
        <v>104</v>
      </c>
      <c r="AU46" s="176">
        <v>0.2</v>
      </c>
      <c r="AV46" s="176">
        <v>0.23</v>
      </c>
      <c r="AW46" s="176" t="s">
        <v>100</v>
      </c>
      <c r="AX46" s="176">
        <v>0.49</v>
      </c>
      <c r="AY46" s="176">
        <v>0.04</v>
      </c>
      <c r="AZ46" s="176">
        <v>73.900000000000006</v>
      </c>
      <c r="BA46" s="176" t="s">
        <v>86</v>
      </c>
      <c r="BB46" s="36">
        <v>590</v>
      </c>
      <c r="BC46" s="36">
        <v>84</v>
      </c>
      <c r="BD46" s="36">
        <v>70</v>
      </c>
      <c r="BE46" s="36">
        <v>0.24</v>
      </c>
      <c r="BF46" s="36">
        <v>0.12</v>
      </c>
      <c r="BG46" s="36"/>
      <c r="BH46" s="36"/>
      <c r="BI46" s="36"/>
      <c r="BJ46" s="36"/>
      <c r="BK46" s="36">
        <v>0.28999999999999998</v>
      </c>
      <c r="BL46" s="45">
        <v>3.68</v>
      </c>
      <c r="BM46" s="36">
        <v>2</v>
      </c>
      <c r="BN46" s="36">
        <v>3.5</v>
      </c>
      <c r="BO46" s="63">
        <v>196</v>
      </c>
      <c r="BP46" s="98">
        <v>180</v>
      </c>
      <c r="BQ46" s="43">
        <f t="shared" si="7"/>
        <v>1.75</v>
      </c>
      <c r="BR46" s="47">
        <f t="shared" si="8"/>
        <v>1.0514285714285714</v>
      </c>
      <c r="BS46" s="45">
        <v>2.42</v>
      </c>
      <c r="BT46" s="176">
        <v>3.28</v>
      </c>
      <c r="BU46" s="176">
        <v>1.4</v>
      </c>
      <c r="BV46" s="176"/>
      <c r="BW46" s="176"/>
      <c r="BX46" s="176"/>
      <c r="BY46" s="176"/>
      <c r="BZ46" s="176"/>
      <c r="CA46" s="176">
        <v>25</v>
      </c>
      <c r="CB46" s="176"/>
      <c r="CC46" s="176">
        <v>0.21</v>
      </c>
      <c r="CD46" s="36">
        <v>-0.18</v>
      </c>
      <c r="CE46" s="36">
        <v>1.3</v>
      </c>
      <c r="CF46" s="36">
        <v>2.04</v>
      </c>
      <c r="CG46" s="36">
        <v>1.4</v>
      </c>
      <c r="CH46" s="36" t="s">
        <v>100</v>
      </c>
      <c r="CI46" s="36" t="s">
        <v>100</v>
      </c>
      <c r="CJ46" s="175" t="s">
        <v>100</v>
      </c>
      <c r="CK46" s="238" t="s">
        <v>603</v>
      </c>
      <c r="CL46" s="239"/>
      <c r="CM46" s="36" t="s">
        <v>132</v>
      </c>
      <c r="CN46" s="36" t="s">
        <v>604</v>
      </c>
      <c r="CO46" s="36">
        <v>3.5999999999999997E-2</v>
      </c>
      <c r="CP46" s="36">
        <v>8.0000000000000002E-3</v>
      </c>
      <c r="CQ46" s="36"/>
      <c r="CR46" s="36"/>
      <c r="CS46" s="36"/>
      <c r="CT46" s="36"/>
      <c r="CU46" s="36">
        <v>3.4</v>
      </c>
      <c r="CV46" s="61">
        <v>47.2</v>
      </c>
      <c r="CW46" s="176"/>
      <c r="CX46" s="66"/>
      <c r="CY46" s="66"/>
      <c r="CZ46" s="66"/>
      <c r="DA46" s="66"/>
      <c r="DB46" s="66"/>
      <c r="DC46" s="36"/>
      <c r="DD46" s="36"/>
      <c r="DE46" s="36"/>
      <c r="DF46" s="36"/>
      <c r="DG46" s="36"/>
      <c r="DH46" s="61">
        <v>408</v>
      </c>
      <c r="DI46" s="36">
        <v>1904</v>
      </c>
      <c r="DJ46" s="36">
        <v>7072</v>
      </c>
      <c r="DK46" s="36">
        <v>3128</v>
      </c>
      <c r="DL46" s="36" t="s">
        <v>86</v>
      </c>
      <c r="DM46" s="36"/>
      <c r="DN46" s="36"/>
      <c r="DO46" s="36"/>
      <c r="DP46" s="36"/>
      <c r="DQ46" s="36"/>
      <c r="DR46" s="36"/>
      <c r="DS46" s="36"/>
      <c r="DT46" s="36"/>
      <c r="DU46" s="36"/>
    </row>
    <row r="47" spans="1:212" s="48" customFormat="1" ht="16.5" customHeight="1" x14ac:dyDescent="0.3">
      <c r="A47" s="34">
        <v>46280</v>
      </c>
      <c r="B47" s="74" t="s">
        <v>85</v>
      </c>
      <c r="C47" s="36">
        <v>2.72</v>
      </c>
      <c r="D47" s="36">
        <v>3.79</v>
      </c>
      <c r="E47" s="36">
        <v>0.87</v>
      </c>
      <c r="F47" s="36">
        <v>1.53</v>
      </c>
      <c r="G47" s="36">
        <v>2.92</v>
      </c>
      <c r="H47" s="36">
        <v>3.26</v>
      </c>
      <c r="I47" s="36">
        <v>2.69</v>
      </c>
      <c r="J47" s="36">
        <v>2.19</v>
      </c>
      <c r="K47" s="37">
        <f t="shared" si="0"/>
        <v>4.88</v>
      </c>
      <c r="L47" s="37">
        <v>5.62</v>
      </c>
      <c r="M47" s="36">
        <v>3.43</v>
      </c>
      <c r="N47" s="36">
        <v>3.58</v>
      </c>
      <c r="O47" s="36">
        <v>2.13</v>
      </c>
      <c r="P47" s="37">
        <f t="shared" si="1"/>
        <v>5.71</v>
      </c>
      <c r="Q47" s="36">
        <v>5.51</v>
      </c>
      <c r="R47" s="36">
        <v>3.38</v>
      </c>
      <c r="S47" s="38">
        <f t="shared" si="2"/>
        <v>3.1264367816091956</v>
      </c>
      <c r="T47" s="38">
        <f t="shared" si="3"/>
        <v>1.0591715976331362</v>
      </c>
      <c r="U47" s="38">
        <f t="shared" si="10"/>
        <v>1.5662100456621006</v>
      </c>
      <c r="V47" s="39">
        <f t="shared" si="4"/>
        <v>0.63970588235294112</v>
      </c>
      <c r="W47" s="39">
        <f t="shared" si="5"/>
        <v>1.0362976406533575</v>
      </c>
      <c r="X47" s="180">
        <v>2.5</v>
      </c>
      <c r="Y47" s="180">
        <v>2.34</v>
      </c>
      <c r="Z47" s="180" t="s">
        <v>100</v>
      </c>
      <c r="AA47" s="180">
        <v>2.56</v>
      </c>
      <c r="AB47" s="180">
        <v>2.5</v>
      </c>
      <c r="AC47" s="36">
        <v>2.36</v>
      </c>
      <c r="AD47" s="36">
        <v>2.5</v>
      </c>
      <c r="AE47" s="36">
        <v>2.46</v>
      </c>
      <c r="AF47" s="42">
        <v>2.46</v>
      </c>
      <c r="AG47" s="43">
        <f t="shared" si="6"/>
        <v>80.281690140845086</v>
      </c>
      <c r="AH47" s="180">
        <v>2.16</v>
      </c>
      <c r="AI47" s="180">
        <v>2.2000000000000002</v>
      </c>
      <c r="AJ47" s="180" t="s">
        <v>100</v>
      </c>
      <c r="AK47" s="180">
        <v>2.2599999999999998</v>
      </c>
      <c r="AL47" s="180">
        <v>2.2799999999999998</v>
      </c>
      <c r="AM47" s="36" t="s">
        <v>100</v>
      </c>
      <c r="AN47" s="36">
        <v>2.1800000000000002</v>
      </c>
      <c r="AO47" s="36">
        <v>2.12</v>
      </c>
      <c r="AP47" s="42">
        <v>2.1800000000000002</v>
      </c>
      <c r="AQ47" s="43">
        <f t="shared" si="9"/>
        <v>19.718309859154918</v>
      </c>
      <c r="AR47" s="44">
        <v>0.26</v>
      </c>
      <c r="AS47" s="180">
        <v>0.41</v>
      </c>
      <c r="AT47" s="180" t="s">
        <v>100</v>
      </c>
      <c r="AU47" s="180">
        <v>0.27</v>
      </c>
      <c r="AV47" s="180">
        <v>0.26</v>
      </c>
      <c r="AW47" s="180"/>
      <c r="AX47" s="180"/>
      <c r="AY47" s="180"/>
      <c r="AZ47" s="180"/>
      <c r="BA47" s="180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45"/>
      <c r="BM47" s="36"/>
      <c r="BN47" s="36"/>
      <c r="BO47" s="63"/>
      <c r="BP47" s="98"/>
      <c r="BQ47" s="43"/>
      <c r="BR47" s="47"/>
      <c r="BS47" s="45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36"/>
      <c r="CE47" s="36"/>
      <c r="CF47" s="36"/>
      <c r="CG47" s="36"/>
      <c r="CH47" s="36"/>
      <c r="CI47" s="36"/>
      <c r="CJ47" s="177"/>
      <c r="CK47" s="178"/>
      <c r="CL47" s="179"/>
      <c r="CM47" s="36"/>
      <c r="CN47" s="36"/>
      <c r="CO47" s="36"/>
      <c r="CP47" s="36"/>
      <c r="CQ47" s="36"/>
      <c r="CR47" s="36"/>
      <c r="CS47" s="36"/>
      <c r="CT47" s="36"/>
      <c r="CU47" s="36"/>
      <c r="CV47" s="61"/>
      <c r="CW47" s="180"/>
      <c r="CX47" s="66"/>
      <c r="CY47" s="66"/>
      <c r="CZ47" s="66"/>
      <c r="DA47" s="66"/>
      <c r="DB47" s="66"/>
      <c r="DC47" s="36"/>
      <c r="DD47" s="36"/>
      <c r="DE47" s="36"/>
      <c r="DF47" s="36"/>
      <c r="DG47" s="36"/>
      <c r="DH47" s="61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</row>
    <row r="48" spans="1:212" s="49" customFormat="1" ht="18" customHeight="1" x14ac:dyDescent="0.3">
      <c r="A48" s="34"/>
      <c r="B48" s="75"/>
      <c r="C48" s="101">
        <v>3.14</v>
      </c>
      <c r="D48" s="101">
        <v>3.94</v>
      </c>
      <c r="E48" s="101">
        <v>1.07</v>
      </c>
      <c r="F48" s="101">
        <v>1.31</v>
      </c>
      <c r="G48" s="101">
        <v>3.09</v>
      </c>
      <c r="H48" s="101">
        <v>3.7</v>
      </c>
      <c r="I48" s="101">
        <v>3.17</v>
      </c>
      <c r="J48" s="101">
        <v>1.98</v>
      </c>
      <c r="K48" s="101">
        <v>5.15</v>
      </c>
      <c r="L48" s="101">
        <v>5.64</v>
      </c>
      <c r="M48" s="101">
        <v>3.66</v>
      </c>
      <c r="N48" s="101">
        <v>4.0199999999999996</v>
      </c>
      <c r="O48" s="101">
        <v>1.92</v>
      </c>
      <c r="P48" s="101">
        <v>5.94</v>
      </c>
      <c r="Q48" s="101">
        <v>5.47</v>
      </c>
      <c r="R48" s="101">
        <v>3.55</v>
      </c>
      <c r="S48" s="50">
        <f>C48/E48</f>
        <v>2.9345794392523366</v>
      </c>
      <c r="T48" s="50">
        <f>N48/R48</f>
        <v>1.1323943661971831</v>
      </c>
      <c r="U48" s="50">
        <f>M48/J48</f>
        <v>1.8484848484848486</v>
      </c>
      <c r="V48" s="50">
        <f t="shared" si="4"/>
        <v>0.68152866242038213</v>
      </c>
      <c r="W48" s="50">
        <f>P48/Q48</f>
        <v>1.0859232175502744</v>
      </c>
      <c r="X48" s="101"/>
      <c r="Y48" s="101"/>
      <c r="Z48" s="101"/>
      <c r="AA48" s="50"/>
      <c r="AB48" s="50"/>
      <c r="AC48" s="50"/>
      <c r="AD48" s="50"/>
      <c r="AE48" s="50"/>
      <c r="AF48" s="101">
        <v>3.1</v>
      </c>
      <c r="AG48" s="51">
        <f>(H48-AF48)/(H48-AP48)*100</f>
        <v>34.883720930232556</v>
      </c>
      <c r="AH48" s="51"/>
      <c r="AI48" s="51"/>
      <c r="AJ48" s="51"/>
      <c r="AK48" s="51"/>
      <c r="AL48" s="51"/>
      <c r="AM48" s="51"/>
      <c r="AN48" s="51"/>
      <c r="AO48" s="51"/>
      <c r="AP48" s="101">
        <v>1.98</v>
      </c>
      <c r="AQ48" s="52">
        <f>IF(OR(AP48="*", AP48="**",AP48 =""),0,(AF48-AP48)/(H48-AP48)*100)</f>
        <v>65.11627906976743</v>
      </c>
      <c r="AR48" s="237"/>
      <c r="AS48" s="237"/>
      <c r="AT48" s="237"/>
      <c r="AU48" s="237"/>
      <c r="AV48" s="237"/>
      <c r="AW48" s="237"/>
      <c r="AX48" s="237"/>
      <c r="AY48" s="237"/>
      <c r="AZ48" s="101"/>
      <c r="BA48" s="101"/>
      <c r="BB48" s="89"/>
      <c r="BC48" s="89"/>
      <c r="BD48" s="89"/>
      <c r="BE48" s="89"/>
      <c r="BF48" s="89"/>
      <c r="BG48" s="89"/>
      <c r="BH48" s="89"/>
      <c r="BI48" s="89"/>
      <c r="BJ48" s="89"/>
      <c r="BK48" s="89">
        <v>31</v>
      </c>
      <c r="BL48" s="89"/>
      <c r="BM48" s="89"/>
      <c r="BN48" s="89">
        <v>3.5</v>
      </c>
      <c r="BO48" s="237">
        <v>70</v>
      </c>
      <c r="BP48" s="237"/>
      <c r="BQ48" s="50" t="e">
        <f t="shared" ref="BQ48" si="11">(BN48/BM48)</f>
        <v>#DIV/0!</v>
      </c>
      <c r="BR48" s="50">
        <f>BL48/BN48</f>
        <v>0</v>
      </c>
      <c r="BS48" s="101"/>
      <c r="BT48" s="50"/>
      <c r="BU48" s="50">
        <v>1.37</v>
      </c>
      <c r="BV48" s="237"/>
      <c r="BW48" s="237"/>
      <c r="BX48" s="237"/>
      <c r="BY48" s="237"/>
      <c r="BZ48" s="237"/>
      <c r="CA48" s="237"/>
      <c r="CB48" s="237"/>
      <c r="CC48" s="53"/>
      <c r="CD48" s="102"/>
      <c r="CE48" s="101"/>
      <c r="CF48" s="89"/>
      <c r="CG48" s="79"/>
      <c r="CH48" s="80"/>
      <c r="CI48" s="80"/>
      <c r="CJ48" s="97"/>
      <c r="CK48" s="226" t="s">
        <v>88</v>
      </c>
      <c r="CL48" s="227"/>
      <c r="CM48" s="99" t="s">
        <v>492</v>
      </c>
      <c r="CN48" s="89">
        <v>20</v>
      </c>
      <c r="CO48" s="79"/>
      <c r="CP48" s="78"/>
      <c r="CQ48" s="79"/>
      <c r="CR48" s="80"/>
      <c r="CS48" s="80"/>
      <c r="CT48" s="80"/>
      <c r="CU48" s="79"/>
      <c r="CV48" s="93"/>
      <c r="CW48" s="54"/>
      <c r="CX48" s="94"/>
      <c r="CY48" s="94"/>
      <c r="CZ48" s="94"/>
      <c r="DA48" s="94"/>
      <c r="DB48" s="94"/>
      <c r="DC48" s="79"/>
      <c r="DD48" s="79"/>
      <c r="DE48" s="79"/>
      <c r="DF48" s="79"/>
      <c r="DG48" s="79"/>
      <c r="DH48" s="81">
        <v>1904</v>
      </c>
      <c r="DI48" s="81">
        <v>5848</v>
      </c>
      <c r="DJ48" s="81">
        <v>3</v>
      </c>
      <c r="DK48" s="81">
        <v>0</v>
      </c>
      <c r="DL48" s="81" t="s">
        <v>86</v>
      </c>
      <c r="DM48" s="79"/>
      <c r="DN48" s="80">
        <v>4</v>
      </c>
      <c r="DO48" s="80">
        <v>16</v>
      </c>
      <c r="DP48" s="80">
        <v>27</v>
      </c>
      <c r="DQ48" s="80">
        <v>30</v>
      </c>
      <c r="DR48" s="80">
        <v>23</v>
      </c>
      <c r="DS48" s="80">
        <v>213</v>
      </c>
      <c r="DT48" s="82">
        <v>160</v>
      </c>
      <c r="DU48" s="82">
        <v>40</v>
      </c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</row>
    <row r="49" spans="1:125" s="48" customFormat="1" ht="16.5" customHeight="1" x14ac:dyDescent="0.3">
      <c r="A49" s="34"/>
      <c r="B49" s="36"/>
      <c r="C49" s="36"/>
      <c r="D49" s="36"/>
      <c r="E49" s="36"/>
      <c r="F49" s="36"/>
      <c r="G49" s="36"/>
      <c r="H49" s="36"/>
      <c r="I49" s="37"/>
      <c r="J49" s="36"/>
      <c r="K49" s="36"/>
      <c r="L49" s="36"/>
      <c r="M49" s="37"/>
      <c r="N49" s="36"/>
      <c r="O49" s="36"/>
      <c r="P49" s="41"/>
      <c r="Q49" s="41"/>
      <c r="R49" s="41"/>
      <c r="S49" s="41"/>
      <c r="T49" s="41"/>
      <c r="U49" s="36"/>
      <c r="V49" s="36"/>
      <c r="W49" s="36"/>
      <c r="X49" s="42"/>
      <c r="Y49" s="41"/>
      <c r="Z49" s="41"/>
      <c r="AA49" s="41"/>
      <c r="AB49" s="41"/>
      <c r="AC49" s="41"/>
      <c r="AD49" s="36"/>
      <c r="AE49" s="36"/>
      <c r="AF49" s="36"/>
      <c r="AG49" s="44"/>
      <c r="AH49" s="41"/>
      <c r="AI49" s="41"/>
      <c r="AJ49" s="41"/>
      <c r="AK49" s="41"/>
      <c r="AL49" s="41"/>
      <c r="AM49" s="41"/>
      <c r="AN49" s="41"/>
      <c r="AO49" s="36"/>
      <c r="AP49" s="36"/>
      <c r="AQ49" s="36"/>
      <c r="AR49" s="41"/>
      <c r="AS49" s="41"/>
      <c r="AT49" s="41"/>
      <c r="AU49" s="41"/>
      <c r="AV49" s="41"/>
      <c r="AW49" s="41"/>
      <c r="AX49" s="41"/>
      <c r="AY49" s="41"/>
      <c r="AZ49" s="41"/>
      <c r="BA49" s="42"/>
      <c r="BB49" s="36"/>
      <c r="BC49" s="36"/>
      <c r="BD49" s="63"/>
      <c r="BE49" s="41"/>
      <c r="BF49" s="43"/>
      <c r="BG49" s="41"/>
      <c r="BH49" s="41"/>
      <c r="BI49" s="41"/>
      <c r="BJ49" s="36"/>
      <c r="BK49" s="41"/>
      <c r="BL49" s="41"/>
      <c r="BM49" s="41"/>
      <c r="BN49" s="41"/>
      <c r="BO49" s="41"/>
      <c r="BP49" s="41"/>
      <c r="BQ49" s="41"/>
      <c r="BR49" s="47"/>
      <c r="BS49" s="36"/>
      <c r="BT49" s="36"/>
      <c r="BU49" s="36"/>
      <c r="BV49" s="41"/>
      <c r="BW49" s="41"/>
      <c r="BX49" s="41"/>
      <c r="BY49" s="41"/>
      <c r="BZ49" s="243"/>
      <c r="CA49" s="243"/>
      <c r="CB49" s="41"/>
      <c r="CC49" s="36"/>
      <c r="CD49" s="36"/>
      <c r="CE49" s="36"/>
      <c r="CF49" s="36"/>
      <c r="CG49" s="36"/>
      <c r="CH49" s="36"/>
      <c r="CI49" s="36"/>
      <c r="CJ49" s="36"/>
      <c r="CK49" s="41"/>
      <c r="CL49" s="66"/>
      <c r="CM49" s="66"/>
      <c r="CN49" s="66"/>
      <c r="CO49" s="66"/>
      <c r="CP49" s="6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61"/>
      <c r="DL49" s="41"/>
      <c r="DM49" s="41"/>
      <c r="DN49" s="41"/>
      <c r="DO49" s="41"/>
      <c r="DP49" s="41"/>
      <c r="DQ49" s="41"/>
      <c r="DR49" s="41"/>
      <c r="DS49" s="41"/>
      <c r="DT49" s="41"/>
      <c r="DU49" s="41"/>
    </row>
    <row r="50" spans="1:125" s="48" customFormat="1" ht="16.5" customHeight="1" x14ac:dyDescent="0.3">
      <c r="A50" s="34"/>
      <c r="B50" s="36"/>
      <c r="C50" s="36"/>
      <c r="D50" s="36"/>
      <c r="E50" s="36"/>
      <c r="F50" s="36"/>
      <c r="G50" s="36"/>
      <c r="H50" s="36"/>
      <c r="I50" s="37"/>
      <c r="J50" s="36"/>
      <c r="K50" s="36"/>
      <c r="L50" s="36"/>
      <c r="M50" s="37"/>
      <c r="N50" s="36"/>
      <c r="O50" s="36"/>
      <c r="P50" s="41"/>
      <c r="Q50" s="41"/>
      <c r="R50" s="41"/>
      <c r="S50" s="41"/>
      <c r="T50" s="41"/>
      <c r="U50" s="36"/>
      <c r="V50" s="36"/>
      <c r="W50" s="36"/>
      <c r="X50" s="42"/>
      <c r="Y50" s="41"/>
      <c r="Z50" s="41"/>
      <c r="AA50" s="41"/>
      <c r="AB50" s="41"/>
      <c r="AC50" s="41"/>
      <c r="AD50" s="36"/>
      <c r="AE50" s="36"/>
      <c r="AF50" s="36"/>
      <c r="AG50" s="44"/>
      <c r="AH50" s="41"/>
      <c r="AI50" s="41"/>
      <c r="AJ50" s="41"/>
      <c r="AK50" s="41"/>
      <c r="AL50" s="41"/>
      <c r="AM50" s="41"/>
      <c r="AN50" s="41"/>
      <c r="AO50" s="36"/>
      <c r="AP50" s="36"/>
      <c r="AQ50" s="36"/>
      <c r="AR50" s="41"/>
      <c r="AS50" s="41"/>
      <c r="AT50" s="41"/>
      <c r="AU50" s="41"/>
      <c r="AV50" s="41"/>
      <c r="AW50" s="41"/>
      <c r="AX50" s="41"/>
      <c r="AY50" s="41"/>
      <c r="AZ50" s="41"/>
      <c r="BA50" s="42"/>
      <c r="BB50" s="36"/>
      <c r="BC50" s="36"/>
      <c r="BD50" s="63"/>
      <c r="BE50" s="41"/>
      <c r="BF50" s="43"/>
      <c r="BG50" s="41"/>
      <c r="BH50" s="41"/>
      <c r="BI50" s="41"/>
      <c r="BJ50" s="36"/>
      <c r="BK50" s="41"/>
      <c r="BL50" s="41"/>
      <c r="BM50" s="41"/>
      <c r="BN50" s="41"/>
      <c r="BO50" s="41"/>
      <c r="BP50" s="41"/>
      <c r="BQ50" s="41"/>
      <c r="BR50" s="47"/>
      <c r="BS50" s="36"/>
      <c r="BT50" s="36"/>
      <c r="BU50" s="36"/>
      <c r="BV50" s="36"/>
      <c r="BW50" s="36"/>
      <c r="BX50" s="36"/>
      <c r="BY50" s="103"/>
      <c r="BZ50" s="183"/>
      <c r="CA50" s="184"/>
      <c r="CB50" s="36"/>
      <c r="CC50" s="36"/>
      <c r="CD50" s="36"/>
      <c r="CE50" s="36"/>
      <c r="CF50" s="36"/>
      <c r="CG50" s="36"/>
      <c r="CH50" s="36"/>
      <c r="CI50" s="36"/>
      <c r="CJ50" s="36"/>
      <c r="CK50" s="41"/>
      <c r="CL50" s="66"/>
      <c r="CM50" s="66"/>
      <c r="CN50" s="66"/>
      <c r="CO50" s="66"/>
      <c r="CP50" s="6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61"/>
      <c r="DL50" s="41"/>
      <c r="DM50" s="41"/>
      <c r="DN50" s="41"/>
      <c r="DO50" s="41"/>
      <c r="DP50" s="41"/>
      <c r="DQ50" s="41"/>
      <c r="DR50" s="41"/>
      <c r="DS50" s="41"/>
      <c r="DT50" s="41"/>
      <c r="DU50" s="41"/>
    </row>
    <row r="51" spans="1:125" s="48" customFormat="1" ht="16.5" customHeight="1" x14ac:dyDescent="0.3">
      <c r="A51" s="34"/>
      <c r="B51" s="41"/>
      <c r="C51" s="41"/>
      <c r="D51" s="41"/>
      <c r="E51" s="41"/>
      <c r="F51" s="41"/>
      <c r="G51" s="41"/>
      <c r="H51" s="41"/>
      <c r="I51" s="57"/>
      <c r="J51" s="41"/>
      <c r="K51" s="41"/>
      <c r="L51" s="41"/>
      <c r="M51" s="57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100"/>
      <c r="Y51" s="41"/>
      <c r="Z51" s="41"/>
      <c r="AA51" s="41"/>
      <c r="AB51" s="41"/>
      <c r="AC51" s="41"/>
      <c r="AD51" s="36"/>
      <c r="AE51" s="36"/>
      <c r="AF51" s="36"/>
      <c r="AG51" s="44"/>
      <c r="AH51" s="41"/>
      <c r="AI51" s="41"/>
      <c r="AJ51" s="41"/>
      <c r="AK51" s="41"/>
      <c r="AL51" s="41"/>
      <c r="AM51" s="41"/>
      <c r="AN51" s="41"/>
      <c r="AO51" s="36"/>
      <c r="AP51" s="36"/>
      <c r="AQ51" s="36"/>
      <c r="AR51" s="41"/>
      <c r="AS51" s="41"/>
      <c r="AT51" s="41"/>
      <c r="AU51" s="41"/>
      <c r="AV51" s="41"/>
      <c r="AW51" s="41"/>
      <c r="AX51" s="41"/>
      <c r="AY51" s="41"/>
      <c r="AZ51" s="41"/>
      <c r="BA51" s="42"/>
      <c r="BB51" s="36"/>
      <c r="BC51" s="36"/>
      <c r="BD51" s="63"/>
      <c r="BE51" s="41"/>
      <c r="BF51" s="43"/>
      <c r="BG51" s="41"/>
      <c r="BH51" s="41"/>
      <c r="BI51" s="41"/>
      <c r="BJ51" s="36"/>
      <c r="BK51" s="41"/>
      <c r="BL51" s="41"/>
      <c r="BM51" s="41"/>
      <c r="BN51" s="41"/>
      <c r="BO51" s="41"/>
      <c r="BP51" s="41"/>
      <c r="BQ51" s="41"/>
      <c r="BR51" s="47"/>
      <c r="BS51" s="36"/>
      <c r="BT51" s="36"/>
      <c r="BU51" s="36"/>
      <c r="BV51" s="36"/>
      <c r="BW51" s="36"/>
      <c r="BX51" s="36"/>
      <c r="BY51" s="103"/>
      <c r="BZ51" s="183"/>
      <c r="CA51" s="184"/>
      <c r="CB51" s="36"/>
      <c r="CC51" s="36"/>
      <c r="CD51" s="36"/>
      <c r="CE51" s="36"/>
      <c r="CF51" s="36"/>
      <c r="CG51" s="36"/>
      <c r="CH51" s="36"/>
      <c r="CI51" s="36"/>
      <c r="CJ51" s="36"/>
      <c r="CK51" s="41"/>
      <c r="CL51" s="41"/>
      <c r="CM51" s="41"/>
      <c r="CN51" s="66"/>
      <c r="CO51" s="66"/>
      <c r="CP51" s="6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61"/>
      <c r="DL51" s="41"/>
      <c r="DM51" s="41"/>
      <c r="DN51" s="41"/>
      <c r="DO51" s="41"/>
      <c r="DP51" s="41"/>
      <c r="DQ51" s="41"/>
      <c r="DR51" s="41"/>
      <c r="DS51" s="41"/>
      <c r="DT51" s="41"/>
      <c r="DU51" s="41"/>
    </row>
    <row r="52" spans="1:125" s="48" customFormat="1" ht="16.5" customHeight="1" x14ac:dyDescent="0.3">
      <c r="A52" s="76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AS52" s="41"/>
      <c r="AT52" s="41"/>
      <c r="AU52" s="41"/>
      <c r="AV52" s="41"/>
      <c r="AW52" s="41"/>
      <c r="AX52" s="41"/>
      <c r="AY52" s="41"/>
      <c r="AZ52" s="41"/>
      <c r="BA52" s="42"/>
      <c r="BB52" s="36"/>
      <c r="BC52" s="36"/>
      <c r="BD52" s="63"/>
      <c r="BE52" s="41"/>
      <c r="BF52" s="43"/>
      <c r="BG52" s="41"/>
      <c r="BH52" s="41"/>
      <c r="BI52" s="41"/>
      <c r="BJ52" s="36"/>
      <c r="BK52" s="41"/>
      <c r="BL52" s="41"/>
      <c r="BM52" s="41"/>
      <c r="BN52" s="41"/>
      <c r="BO52" s="41"/>
      <c r="BP52" s="41"/>
      <c r="BQ52" s="41"/>
      <c r="BR52" s="47"/>
      <c r="BS52" s="36"/>
      <c r="BT52" s="36"/>
      <c r="BU52" s="36"/>
      <c r="BV52" s="36"/>
      <c r="BW52" s="36"/>
      <c r="BX52" s="36"/>
      <c r="BY52" s="103"/>
      <c r="BZ52" s="183"/>
      <c r="CA52" s="184"/>
      <c r="CB52" s="36"/>
      <c r="CC52" s="36"/>
      <c r="CD52" s="36"/>
      <c r="CE52" s="36"/>
      <c r="CF52" s="36"/>
      <c r="CG52" s="36"/>
      <c r="CH52" s="36"/>
      <c r="CI52" s="36"/>
      <c r="CJ52" s="36"/>
      <c r="CK52" s="41"/>
      <c r="CL52" s="41"/>
      <c r="CM52" s="41"/>
      <c r="CN52" s="66"/>
      <c r="CO52" s="66"/>
      <c r="CP52" s="6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61"/>
      <c r="DL52" s="41"/>
      <c r="DM52" s="41"/>
      <c r="DN52" s="41"/>
      <c r="DO52" s="41"/>
      <c r="DP52" s="41"/>
      <c r="DQ52" s="41"/>
      <c r="DR52" s="41"/>
      <c r="DS52" s="41"/>
      <c r="DT52" s="41"/>
      <c r="DU52" s="41"/>
    </row>
    <row r="53" spans="1:125" s="48" customFormat="1" ht="16.5" customHeight="1" x14ac:dyDescent="0.3">
      <c r="A53" s="41"/>
      <c r="B53" s="36"/>
      <c r="C53" s="36"/>
      <c r="D53" s="36"/>
      <c r="E53" s="36"/>
      <c r="F53" s="36"/>
      <c r="G53" s="36"/>
      <c r="H53" s="36"/>
      <c r="I53" s="37"/>
      <c r="J53" s="36"/>
      <c r="K53" s="36"/>
      <c r="L53" s="36"/>
      <c r="M53" s="37"/>
      <c r="N53" s="36"/>
      <c r="O53" s="36"/>
      <c r="P53" s="41"/>
      <c r="Q53" s="41"/>
      <c r="R53" s="41"/>
      <c r="S53" s="41"/>
      <c r="T53" s="41"/>
      <c r="U53" s="36"/>
      <c r="V53" s="36"/>
      <c r="W53" s="36"/>
      <c r="X53" s="42"/>
      <c r="Y53" s="41"/>
      <c r="Z53" s="41"/>
      <c r="AA53" s="41"/>
      <c r="AB53" s="41"/>
      <c r="AC53" s="41"/>
      <c r="AD53" s="36"/>
      <c r="AE53" s="36"/>
      <c r="AF53" s="36"/>
      <c r="AG53" s="44"/>
      <c r="AH53" s="41"/>
      <c r="AI53" s="41"/>
      <c r="AJ53" s="41"/>
      <c r="AK53" s="41"/>
      <c r="AL53" s="41"/>
      <c r="AM53" s="41"/>
      <c r="AN53" s="41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45"/>
      <c r="BB53" s="36"/>
      <c r="BC53" s="36"/>
      <c r="BD53" s="63"/>
      <c r="BE53" s="41"/>
      <c r="BF53" s="43"/>
      <c r="BG53" s="41"/>
      <c r="BH53" s="41"/>
      <c r="BI53" s="41"/>
      <c r="BJ53" s="36"/>
      <c r="BK53" s="41"/>
      <c r="BL53" s="41"/>
      <c r="BM53" s="41"/>
      <c r="BN53" s="41"/>
      <c r="BO53" s="41"/>
      <c r="BP53" s="41"/>
      <c r="BQ53" s="41"/>
      <c r="BR53" s="47"/>
      <c r="BS53" s="36"/>
      <c r="BT53" s="36"/>
      <c r="BU53" s="36"/>
      <c r="BV53" s="36"/>
      <c r="BW53" s="36"/>
      <c r="BX53" s="36"/>
      <c r="BY53" s="103"/>
      <c r="BZ53" s="183"/>
      <c r="CA53" s="184"/>
      <c r="CB53" s="36"/>
      <c r="CC53" s="36"/>
      <c r="CD53" s="36"/>
      <c r="CE53" s="36"/>
      <c r="CF53" s="36"/>
      <c r="CG53" s="36"/>
      <c r="CH53" s="36"/>
      <c r="CI53" s="36"/>
      <c r="CJ53" s="36"/>
      <c r="CK53" s="41"/>
      <c r="CL53" s="66"/>
      <c r="CM53" s="66"/>
      <c r="CN53" s="66"/>
      <c r="CO53" s="66"/>
      <c r="CP53" s="6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61"/>
      <c r="DL53" s="41"/>
      <c r="DM53" s="41"/>
      <c r="DN53" s="41"/>
      <c r="DO53" s="41"/>
      <c r="DP53" s="41"/>
      <c r="DQ53" s="41"/>
      <c r="DR53" s="41"/>
      <c r="DS53" s="41"/>
      <c r="DT53" s="41"/>
      <c r="DU53" s="41"/>
    </row>
    <row r="54" spans="1:125" s="48" customFormat="1" ht="16.5" customHeight="1" x14ac:dyDescent="0.3">
      <c r="A54" s="36"/>
      <c r="B54" s="36"/>
      <c r="C54" s="36"/>
      <c r="D54" s="36"/>
      <c r="E54" s="36"/>
      <c r="F54" s="36"/>
      <c r="G54" s="36"/>
      <c r="H54" s="36"/>
      <c r="I54" s="37"/>
      <c r="J54" s="36"/>
      <c r="K54" s="36"/>
      <c r="L54" s="36"/>
      <c r="M54" s="37"/>
      <c r="N54" s="36"/>
      <c r="O54" s="36"/>
      <c r="P54" s="41"/>
      <c r="Q54" s="41"/>
      <c r="R54" s="41"/>
      <c r="S54" s="41"/>
      <c r="T54" s="41"/>
      <c r="U54" s="36"/>
      <c r="V54" s="36"/>
      <c r="W54" s="36"/>
      <c r="X54" s="42"/>
      <c r="Y54" s="41"/>
      <c r="Z54" s="41"/>
      <c r="AA54" s="41"/>
      <c r="AB54" s="41"/>
      <c r="AC54" s="41"/>
      <c r="AD54" s="36"/>
      <c r="AE54" s="36"/>
      <c r="AF54" s="36"/>
      <c r="AG54" s="44"/>
      <c r="AH54" s="41"/>
      <c r="AI54" s="41"/>
      <c r="AJ54" s="41"/>
      <c r="AK54" s="41"/>
      <c r="AL54" s="41"/>
      <c r="AM54" s="41"/>
      <c r="AN54" s="104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45"/>
      <c r="BB54" s="36"/>
      <c r="BC54" s="36"/>
      <c r="BD54" s="63"/>
      <c r="BE54" s="41"/>
      <c r="BF54" s="43"/>
      <c r="BG54" s="41"/>
      <c r="BH54" s="41"/>
      <c r="BI54" s="41"/>
      <c r="BJ54" s="36"/>
      <c r="BK54" s="41"/>
      <c r="BL54" s="41"/>
      <c r="BM54" s="41"/>
      <c r="BN54" s="41"/>
      <c r="BO54" s="41"/>
      <c r="BP54" s="41"/>
      <c r="BQ54" s="41"/>
      <c r="BR54" s="47"/>
      <c r="BS54" s="36"/>
      <c r="BT54" s="36"/>
      <c r="BU54" s="36"/>
      <c r="BV54" s="36"/>
      <c r="BW54" s="36"/>
      <c r="BX54" s="36"/>
      <c r="BY54" s="103"/>
      <c r="BZ54" s="183"/>
      <c r="CA54" s="184"/>
      <c r="CB54" s="36"/>
      <c r="CC54" s="36"/>
      <c r="CD54" s="36"/>
      <c r="CE54" s="36"/>
      <c r="CF54" s="36"/>
      <c r="CG54" s="36"/>
      <c r="CH54" s="36"/>
      <c r="CI54" s="36"/>
      <c r="CJ54" s="36"/>
      <c r="CK54" s="41"/>
      <c r="CL54" s="66"/>
      <c r="CM54" s="66"/>
      <c r="CN54" s="66"/>
      <c r="CO54" s="66"/>
      <c r="CP54" s="6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61"/>
      <c r="DL54" s="41"/>
      <c r="DM54" s="41"/>
      <c r="DN54" s="41"/>
      <c r="DO54" s="41"/>
      <c r="DP54" s="41"/>
      <c r="DQ54" s="41"/>
      <c r="DR54" s="41"/>
      <c r="DS54" s="41"/>
      <c r="DT54" s="41"/>
      <c r="DU54" s="41"/>
    </row>
    <row r="55" spans="1:125" s="48" customFormat="1" ht="16.5" customHeight="1" x14ac:dyDescent="0.3">
      <c r="A55" s="36"/>
      <c r="B55" s="36"/>
      <c r="C55" s="36"/>
      <c r="D55" s="36"/>
      <c r="E55" s="36"/>
      <c r="F55" s="36"/>
      <c r="G55" s="36"/>
      <c r="H55" s="36"/>
      <c r="I55" s="37"/>
      <c r="J55" s="36"/>
      <c r="K55" s="36"/>
      <c r="L55" s="36"/>
      <c r="M55" s="37"/>
      <c r="N55" s="36"/>
      <c r="O55" s="36"/>
      <c r="P55" s="41"/>
      <c r="Q55" s="41"/>
      <c r="R55" s="41"/>
      <c r="S55" s="41"/>
      <c r="T55" s="41"/>
      <c r="U55" s="36"/>
      <c r="V55" s="36"/>
      <c r="W55" s="36"/>
      <c r="X55" s="42"/>
      <c r="Y55" s="41"/>
      <c r="Z55" s="41"/>
      <c r="AA55" s="41"/>
      <c r="AB55" s="41"/>
      <c r="AC55" s="41"/>
      <c r="AD55" s="36"/>
      <c r="AE55" s="36"/>
      <c r="AF55" s="36"/>
      <c r="AG55" s="44"/>
      <c r="AH55" s="41"/>
      <c r="AI55" s="41"/>
      <c r="AJ55" s="41"/>
      <c r="AK55" s="41"/>
      <c r="AL55" s="41"/>
      <c r="AM55" s="41"/>
      <c r="AN55" s="104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45"/>
      <c r="BB55" s="36"/>
      <c r="BC55" s="36"/>
      <c r="BD55" s="63"/>
      <c r="BE55" s="41"/>
      <c r="BF55" s="43"/>
      <c r="BG55" s="41"/>
      <c r="BH55" s="41"/>
      <c r="BI55" s="41"/>
      <c r="BJ55" s="36"/>
      <c r="BK55" s="41"/>
      <c r="BL55" s="41"/>
      <c r="BM55" s="41"/>
      <c r="BN55" s="41"/>
      <c r="BO55" s="41"/>
      <c r="BP55" s="41"/>
      <c r="BQ55" s="41"/>
      <c r="BR55" s="47"/>
      <c r="BS55" s="36"/>
      <c r="BT55" s="36"/>
      <c r="BU55" s="36"/>
      <c r="BV55" s="36"/>
      <c r="BW55" s="36"/>
      <c r="BX55" s="36"/>
      <c r="BY55" s="103"/>
      <c r="BZ55" s="183"/>
      <c r="CA55" s="184"/>
      <c r="CB55" s="36"/>
      <c r="CC55" s="36"/>
      <c r="CD55" s="36"/>
      <c r="CE55" s="36"/>
      <c r="CF55" s="36"/>
      <c r="CG55" s="36"/>
      <c r="CH55" s="36"/>
      <c r="CI55" s="36"/>
      <c r="CJ55" s="36"/>
      <c r="CK55" s="41"/>
      <c r="CL55" s="66"/>
      <c r="CM55" s="66"/>
      <c r="CN55" s="66"/>
      <c r="CO55" s="66"/>
      <c r="CP55" s="6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61"/>
      <c r="DL55" s="41"/>
      <c r="DM55" s="41"/>
      <c r="DN55" s="41"/>
      <c r="DO55" s="41"/>
      <c r="DP55" s="41"/>
      <c r="DQ55" s="41"/>
      <c r="DR55" s="41"/>
      <c r="DS55" s="41"/>
      <c r="DT55" s="41"/>
      <c r="DU55" s="41" t="s">
        <v>165</v>
      </c>
    </row>
    <row r="56" spans="1:125" s="48" customFormat="1" ht="16.5" customHeight="1" x14ac:dyDescent="0.3">
      <c r="A56" s="36"/>
      <c r="B56" s="36"/>
      <c r="C56" s="36"/>
      <c r="D56" s="36"/>
      <c r="E56" s="36"/>
      <c r="F56" s="36"/>
      <c r="G56" s="36"/>
      <c r="H56" s="36"/>
      <c r="I56" s="37"/>
      <c r="J56" s="36"/>
      <c r="K56" s="36"/>
      <c r="L56" s="36"/>
      <c r="M56" s="37"/>
      <c r="N56" s="36"/>
      <c r="O56" s="36"/>
      <c r="P56" s="41"/>
      <c r="Q56" s="41"/>
      <c r="R56" s="41"/>
      <c r="S56" s="41"/>
      <c r="T56" s="41"/>
      <c r="U56" s="36"/>
      <c r="V56" s="36"/>
      <c r="W56" s="36"/>
      <c r="X56" s="42"/>
      <c r="Y56" s="41"/>
      <c r="Z56" s="41"/>
      <c r="AA56" s="41"/>
      <c r="AB56" s="41"/>
      <c r="AC56" s="41"/>
      <c r="AD56" s="36"/>
      <c r="AE56" s="36"/>
      <c r="AF56" s="36"/>
      <c r="AG56" s="44"/>
      <c r="AH56" s="41"/>
      <c r="AI56" s="41"/>
      <c r="AJ56" s="41"/>
      <c r="AK56" s="41"/>
      <c r="AL56" s="41"/>
      <c r="AM56" s="41"/>
      <c r="AN56" s="104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45"/>
      <c r="BB56" s="36"/>
      <c r="BC56" s="36"/>
      <c r="BD56" s="63"/>
      <c r="BE56" s="41"/>
      <c r="BF56" s="43"/>
      <c r="BG56" s="41"/>
      <c r="BH56" s="41"/>
      <c r="BI56" s="41"/>
      <c r="BJ56" s="36"/>
      <c r="BK56" s="41"/>
      <c r="BL56" s="41"/>
      <c r="BM56" s="41"/>
      <c r="BN56" s="41"/>
      <c r="BO56" s="41"/>
      <c r="BP56" s="41"/>
      <c r="BQ56" s="41"/>
      <c r="BR56" s="47"/>
      <c r="BS56" s="36"/>
      <c r="BT56" s="36"/>
      <c r="BU56" s="36"/>
      <c r="BV56" s="36"/>
      <c r="BW56" s="36"/>
      <c r="BX56" s="36"/>
      <c r="BY56" s="103"/>
      <c r="BZ56" s="183"/>
      <c r="CA56" s="184"/>
      <c r="CB56" s="36"/>
      <c r="CC56" s="36"/>
      <c r="CD56" s="36"/>
      <c r="CE56" s="36"/>
      <c r="CF56" s="36"/>
      <c r="CG56" s="36"/>
      <c r="CH56" s="36"/>
      <c r="CI56" s="36"/>
      <c r="CJ56" s="36"/>
      <c r="CK56" s="41"/>
      <c r="CL56" s="66"/>
      <c r="CM56" s="66"/>
      <c r="CN56" s="66"/>
      <c r="CO56" s="66"/>
      <c r="CP56" s="6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61"/>
      <c r="DL56" s="41"/>
      <c r="DM56" s="41"/>
      <c r="DN56" s="41"/>
      <c r="DO56" s="41"/>
      <c r="DP56" s="41"/>
      <c r="DQ56" s="41"/>
      <c r="DR56" s="41"/>
      <c r="DS56" s="41"/>
      <c r="DT56" s="41"/>
      <c r="DU56" s="41"/>
    </row>
    <row r="57" spans="1:125" s="48" customFormat="1" ht="16.5" customHeight="1" x14ac:dyDescent="0.3">
      <c r="A57" s="36"/>
      <c r="B57" s="36"/>
      <c r="C57" s="36"/>
      <c r="D57" s="36"/>
      <c r="E57" s="36"/>
      <c r="F57" s="36"/>
      <c r="G57" s="36"/>
      <c r="H57" s="36"/>
      <c r="I57" s="37"/>
      <c r="J57" s="36"/>
      <c r="K57" s="36"/>
      <c r="L57" s="36"/>
      <c r="M57" s="37"/>
      <c r="N57" s="36"/>
      <c r="O57" s="36"/>
      <c r="P57" s="41"/>
      <c r="Q57" s="41"/>
      <c r="R57" s="41"/>
      <c r="S57" s="41"/>
      <c r="T57" s="41"/>
      <c r="U57" s="36"/>
      <c r="V57" s="36"/>
      <c r="W57" s="36"/>
      <c r="X57" s="42"/>
      <c r="Y57" s="41"/>
      <c r="Z57" s="41"/>
      <c r="AA57" s="41"/>
      <c r="AB57" s="41"/>
      <c r="AC57" s="41"/>
      <c r="AD57" s="36"/>
      <c r="AE57" s="36"/>
      <c r="AF57" s="36"/>
      <c r="AG57" s="105"/>
      <c r="AH57" s="72"/>
      <c r="AI57" s="72"/>
      <c r="AJ57" s="72"/>
      <c r="AK57" s="72"/>
      <c r="AL57" s="72"/>
      <c r="AM57" s="72"/>
      <c r="AN57" s="104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45"/>
      <c r="BB57" s="36"/>
      <c r="BC57" s="36"/>
      <c r="BD57" s="63"/>
      <c r="BE57" s="41"/>
      <c r="BF57" s="43"/>
      <c r="BG57" s="41"/>
      <c r="BH57" s="41"/>
      <c r="BI57" s="41"/>
      <c r="BJ57" s="36"/>
      <c r="BK57" s="41"/>
      <c r="BL57" s="41"/>
      <c r="BM57" s="41"/>
      <c r="BN57" s="41"/>
      <c r="BO57" s="41"/>
      <c r="BP57" s="41"/>
      <c r="BQ57" s="41"/>
      <c r="BR57" s="47"/>
      <c r="BS57" s="36"/>
      <c r="BT57" s="36"/>
      <c r="BU57" s="36"/>
      <c r="BV57" s="36"/>
      <c r="BW57" s="36"/>
      <c r="BX57" s="36"/>
      <c r="BY57" s="103"/>
      <c r="BZ57" s="183"/>
      <c r="CA57" s="184"/>
      <c r="CB57" s="36"/>
      <c r="CC57" s="36"/>
      <c r="CD57" s="36"/>
      <c r="CE57" s="36"/>
      <c r="CF57" s="36"/>
      <c r="CG57" s="36"/>
      <c r="CH57" s="36"/>
      <c r="CI57" s="36"/>
      <c r="CJ57" s="36"/>
      <c r="CK57" s="41"/>
      <c r="CL57" s="66"/>
      <c r="CM57" s="66"/>
      <c r="CN57" s="66"/>
      <c r="CO57" s="66"/>
      <c r="CP57" s="6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61"/>
      <c r="DL57" s="41"/>
      <c r="DM57" s="41"/>
      <c r="DN57" s="41"/>
      <c r="DO57" s="41"/>
      <c r="DP57" s="41"/>
      <c r="DQ57" s="41"/>
      <c r="DR57" s="41"/>
      <c r="DS57" s="41"/>
      <c r="DT57" s="41"/>
      <c r="DU57" s="41"/>
    </row>
    <row r="58" spans="1:125" s="48" customFormat="1" ht="16.5" customHeight="1" x14ac:dyDescent="0.3">
      <c r="A58" s="36"/>
      <c r="B58" s="36"/>
      <c r="C58" s="36"/>
      <c r="D58" s="36"/>
      <c r="E58" s="36"/>
      <c r="F58" s="36"/>
      <c r="G58" s="36"/>
      <c r="H58" s="36"/>
      <c r="I58" s="37"/>
      <c r="J58" s="36"/>
      <c r="K58" s="36"/>
      <c r="L58" s="36"/>
      <c r="M58" s="37"/>
      <c r="N58" s="36"/>
      <c r="O58" s="36"/>
      <c r="P58" s="41"/>
      <c r="Q58" s="41"/>
      <c r="R58" s="41"/>
      <c r="S58" s="41"/>
      <c r="T58" s="41"/>
      <c r="U58" s="36"/>
      <c r="V58" s="36"/>
      <c r="W58" s="36"/>
      <c r="X58" s="42"/>
      <c r="Y58" s="41"/>
      <c r="Z58" s="41"/>
      <c r="AA58" s="41"/>
      <c r="AB58" s="41"/>
      <c r="AC58" s="41"/>
      <c r="AD58" s="36"/>
      <c r="AE58" s="36"/>
      <c r="AF58" s="36"/>
      <c r="AG58" s="105"/>
      <c r="AH58" s="72"/>
      <c r="AI58" s="72"/>
      <c r="AJ58" s="72"/>
      <c r="AK58" s="72"/>
      <c r="AL58" s="72"/>
      <c r="AM58" s="72"/>
      <c r="AN58" s="104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45"/>
      <c r="BB58" s="36"/>
      <c r="BC58" s="36"/>
      <c r="BD58" s="63"/>
      <c r="BE58" s="41"/>
      <c r="BF58" s="43"/>
      <c r="BG58" s="41"/>
      <c r="BH58" s="41"/>
      <c r="BI58" s="41"/>
      <c r="BJ58" s="36"/>
      <c r="BK58" s="41"/>
      <c r="BL58" s="41"/>
      <c r="BM58" s="41"/>
      <c r="BN58" s="41"/>
      <c r="BO58" s="41"/>
      <c r="BP58" s="41"/>
      <c r="BQ58" s="41"/>
      <c r="BR58" s="47"/>
      <c r="BS58" s="36"/>
      <c r="BT58" s="36"/>
      <c r="BU58" s="36"/>
      <c r="BV58" s="36"/>
      <c r="BW58" s="36"/>
      <c r="BX58" s="36"/>
      <c r="BY58" s="103"/>
      <c r="BZ58" s="183"/>
      <c r="CA58" s="184"/>
      <c r="CB58" s="36"/>
      <c r="CC58" s="36"/>
      <c r="CD58" s="36"/>
      <c r="CE58" s="36"/>
      <c r="CF58" s="36"/>
      <c r="CG58" s="36"/>
      <c r="CH58" s="36"/>
      <c r="CI58" s="36"/>
      <c r="CJ58" s="36"/>
      <c r="CK58" s="41"/>
      <c r="CL58" s="66"/>
      <c r="CM58" s="66"/>
      <c r="CN58" s="66"/>
      <c r="CO58" s="66"/>
      <c r="CP58" s="6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61"/>
      <c r="DL58" s="41"/>
      <c r="DM58" s="41"/>
      <c r="DN58" s="41"/>
      <c r="DO58" s="41"/>
      <c r="DP58" s="41"/>
      <c r="DQ58" s="41"/>
      <c r="DR58" s="41"/>
      <c r="DS58" s="41"/>
      <c r="DT58" s="41"/>
      <c r="DU58" s="41"/>
    </row>
    <row r="59" spans="1:125" s="48" customFormat="1" ht="16.5" customHeight="1" x14ac:dyDescent="0.3">
      <c r="A59" s="36"/>
      <c r="B59" s="36"/>
      <c r="C59" s="36"/>
      <c r="D59" s="36"/>
      <c r="E59" s="36"/>
      <c r="F59" s="36"/>
      <c r="G59" s="36"/>
      <c r="H59" s="36"/>
      <c r="I59" s="37"/>
      <c r="J59" s="36"/>
      <c r="K59" s="36"/>
      <c r="L59" s="36"/>
      <c r="M59" s="37"/>
      <c r="N59" s="36"/>
      <c r="O59" s="36"/>
      <c r="P59" s="41"/>
      <c r="Q59" s="41"/>
      <c r="R59" s="41"/>
      <c r="S59" s="41"/>
      <c r="T59" s="41"/>
      <c r="U59" s="36"/>
      <c r="V59" s="36"/>
      <c r="W59" s="36"/>
      <c r="X59" s="42"/>
      <c r="Y59" s="41"/>
      <c r="Z59" s="41"/>
      <c r="AA59" s="41"/>
      <c r="AB59" s="41"/>
      <c r="AC59" s="41"/>
      <c r="AD59" s="36"/>
      <c r="AE59" s="36"/>
      <c r="AF59" s="36"/>
      <c r="AG59" s="44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36"/>
      <c r="AZ59" s="36"/>
      <c r="BA59" s="45"/>
      <c r="BB59" s="36"/>
      <c r="BC59" s="36"/>
      <c r="BD59" s="63"/>
      <c r="BE59" s="41"/>
      <c r="BF59" s="43"/>
      <c r="BG59" s="41"/>
      <c r="BH59" s="41"/>
      <c r="BI59" s="41"/>
      <c r="BJ59" s="36"/>
      <c r="BK59" s="41"/>
      <c r="BL59" s="41"/>
      <c r="BM59" s="41"/>
      <c r="BN59" s="41"/>
      <c r="BO59" s="41"/>
      <c r="BP59" s="41"/>
      <c r="BQ59" s="41"/>
      <c r="BR59" s="47"/>
      <c r="BS59" s="36"/>
      <c r="BT59" s="36"/>
      <c r="BU59" s="36"/>
      <c r="BV59" s="36"/>
      <c r="BW59" s="36"/>
      <c r="BX59" s="36"/>
      <c r="BY59" s="103"/>
      <c r="BZ59" s="183"/>
      <c r="CA59" s="184"/>
      <c r="CB59" s="36"/>
      <c r="CC59" s="36"/>
      <c r="CD59" s="36"/>
      <c r="CE59" s="36"/>
      <c r="CF59" s="36"/>
      <c r="CG59" s="36"/>
      <c r="CH59" s="36"/>
      <c r="CI59" s="36"/>
      <c r="CJ59" s="36"/>
      <c r="CK59" s="41"/>
      <c r="CL59" s="66"/>
      <c r="CM59" s="66"/>
      <c r="CN59" s="66"/>
      <c r="CO59" s="66"/>
      <c r="CP59" s="6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61"/>
      <c r="DL59" s="41"/>
      <c r="DM59" s="41"/>
      <c r="DN59" s="41"/>
      <c r="DO59" s="41"/>
      <c r="DP59" s="41"/>
      <c r="DQ59" s="41"/>
      <c r="DR59" s="41"/>
      <c r="DS59" s="41"/>
      <c r="DT59" s="41"/>
      <c r="DU59" s="41"/>
    </row>
    <row r="60" spans="1:125" s="48" customFormat="1" ht="16.5" customHeight="1" x14ac:dyDescent="0.3">
      <c r="A60" s="36"/>
      <c r="B60" s="36"/>
      <c r="C60" s="36"/>
      <c r="D60" s="36"/>
      <c r="E60" s="36"/>
      <c r="F60" s="36"/>
      <c r="G60" s="36"/>
      <c r="H60" s="36"/>
      <c r="I60" s="37"/>
      <c r="J60" s="36"/>
      <c r="K60" s="36"/>
      <c r="L60" s="36"/>
      <c r="M60" s="37"/>
      <c r="N60" s="36"/>
      <c r="O60" s="36"/>
      <c r="P60" s="41"/>
      <c r="Q60" s="41"/>
      <c r="R60" s="41"/>
      <c r="S60" s="41"/>
      <c r="T60" s="41"/>
      <c r="U60" s="36"/>
      <c r="V60" s="36"/>
      <c r="W60" s="36"/>
      <c r="X60" s="42"/>
      <c r="Y60" s="41"/>
      <c r="Z60" s="41"/>
      <c r="AA60" s="41"/>
      <c r="AB60" s="41"/>
      <c r="AC60" s="41"/>
      <c r="AD60" s="36"/>
      <c r="AE60" s="36"/>
      <c r="AF60" s="36"/>
      <c r="AG60" s="44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36"/>
      <c r="AZ60" s="36"/>
      <c r="BA60" s="45"/>
      <c r="BB60" s="36"/>
      <c r="BC60" s="36"/>
      <c r="BD60" s="63"/>
      <c r="BE60" s="41"/>
      <c r="BF60" s="43"/>
      <c r="BG60" s="41"/>
      <c r="BH60" s="41"/>
      <c r="BI60" s="41"/>
      <c r="BJ60" s="36"/>
      <c r="BK60" s="41"/>
      <c r="BL60" s="41"/>
      <c r="BM60" s="41"/>
      <c r="BN60" s="41"/>
      <c r="BO60" s="41"/>
      <c r="BP60" s="41"/>
      <c r="BQ60" s="41"/>
      <c r="BR60" s="47"/>
      <c r="BS60" s="36"/>
      <c r="BT60" s="36"/>
      <c r="BU60" s="36"/>
      <c r="BV60" s="36"/>
      <c r="BW60" s="36"/>
      <c r="BX60" s="36"/>
      <c r="BY60" s="103"/>
      <c r="BZ60" s="183"/>
      <c r="CA60" s="184"/>
      <c r="CB60" s="36"/>
      <c r="CC60" s="36"/>
      <c r="CD60" s="36"/>
      <c r="CE60" s="36"/>
      <c r="CF60" s="36"/>
      <c r="CG60" s="36"/>
      <c r="CH60" s="36"/>
      <c r="CI60" s="36"/>
      <c r="CJ60" s="36"/>
      <c r="CK60" s="41"/>
      <c r="CL60" s="66"/>
      <c r="CM60" s="66"/>
      <c r="CN60" s="66"/>
      <c r="CO60" s="66"/>
      <c r="CP60" s="6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61"/>
      <c r="DL60" s="41"/>
      <c r="DM60" s="41"/>
      <c r="DN60" s="41"/>
      <c r="DO60" s="41"/>
      <c r="DP60" s="41"/>
      <c r="DQ60" s="41"/>
      <c r="DR60" s="41"/>
      <c r="DS60" s="41"/>
      <c r="DT60" s="41"/>
      <c r="DU60" s="41"/>
    </row>
    <row r="61" spans="1:125" s="48" customFormat="1" ht="16.5" customHeight="1" x14ac:dyDescent="0.3">
      <c r="A61" s="36"/>
      <c r="B61" s="36"/>
      <c r="C61" s="36"/>
      <c r="D61" s="36"/>
      <c r="E61" s="36"/>
      <c r="F61" s="36"/>
      <c r="G61" s="36"/>
      <c r="H61" s="36"/>
      <c r="I61" s="37"/>
      <c r="J61" s="36"/>
      <c r="K61" s="36"/>
      <c r="L61" s="36"/>
      <c r="M61" s="37"/>
      <c r="N61" s="36"/>
      <c r="O61" s="36"/>
      <c r="P61" s="41"/>
      <c r="Q61" s="41"/>
      <c r="R61" s="41"/>
      <c r="S61" s="41"/>
      <c r="T61" s="41"/>
      <c r="U61" s="36"/>
      <c r="V61" s="36"/>
      <c r="W61" s="36"/>
      <c r="X61" s="42"/>
      <c r="Y61" s="41"/>
      <c r="Z61" s="41"/>
      <c r="AA61" s="41"/>
      <c r="AB61" s="41"/>
      <c r="AC61" s="41"/>
      <c r="AD61" s="36"/>
      <c r="AE61" s="36"/>
      <c r="AF61" s="36"/>
      <c r="AG61" s="44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36"/>
      <c r="AZ61" s="36"/>
      <c r="BA61" s="45"/>
      <c r="BB61" s="36"/>
      <c r="BC61" s="36"/>
      <c r="BD61" s="63"/>
      <c r="BE61" s="41"/>
      <c r="BF61" s="43"/>
      <c r="BG61" s="41"/>
      <c r="BH61" s="41"/>
      <c r="BI61" s="41"/>
      <c r="BJ61" s="36"/>
      <c r="BK61" s="41"/>
      <c r="BL61" s="41"/>
      <c r="BM61" s="41"/>
      <c r="BN61" s="41"/>
      <c r="BO61" s="41"/>
      <c r="BP61" s="41"/>
      <c r="BQ61" s="41"/>
      <c r="BR61" s="47"/>
      <c r="BS61" s="36"/>
      <c r="BT61" s="36"/>
      <c r="BU61" s="36"/>
      <c r="BV61" s="36"/>
      <c r="BW61" s="36"/>
      <c r="BX61" s="36"/>
      <c r="BY61" s="103"/>
      <c r="BZ61" s="183"/>
      <c r="CA61" s="184"/>
      <c r="CB61" s="36"/>
      <c r="CC61" s="36"/>
      <c r="CD61" s="36"/>
      <c r="CE61" s="36"/>
      <c r="CF61" s="36"/>
      <c r="CG61" s="36"/>
      <c r="CH61" s="36"/>
      <c r="CI61" s="36"/>
      <c r="CJ61" s="36"/>
      <c r="CK61" s="41"/>
      <c r="CL61" s="66"/>
      <c r="CM61" s="66"/>
      <c r="CN61" s="66"/>
      <c r="CO61" s="66"/>
      <c r="CP61" s="6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61"/>
      <c r="DL61" s="41"/>
      <c r="DM61" s="41"/>
      <c r="DN61" s="41"/>
      <c r="DO61" s="41"/>
      <c r="DP61" s="41"/>
      <c r="DQ61" s="41"/>
      <c r="DR61" s="41"/>
      <c r="DS61" s="41"/>
      <c r="DT61" s="41"/>
      <c r="DU61" s="41"/>
    </row>
    <row r="62" spans="1:125" s="48" customFormat="1" ht="16.5" customHeight="1" x14ac:dyDescent="0.3">
      <c r="A62" s="36"/>
      <c r="B62" s="36"/>
      <c r="C62" s="36"/>
      <c r="D62" s="36"/>
      <c r="E62" s="36"/>
      <c r="F62" s="36"/>
      <c r="G62" s="36"/>
      <c r="H62" s="36"/>
      <c r="I62" s="37"/>
      <c r="J62" s="36"/>
      <c r="K62" s="36"/>
      <c r="L62" s="36"/>
      <c r="M62" s="37"/>
      <c r="N62" s="36"/>
      <c r="O62" s="36"/>
      <c r="P62" s="41"/>
      <c r="Q62" s="41"/>
      <c r="R62" s="41"/>
      <c r="S62" s="41"/>
      <c r="T62" s="41"/>
      <c r="U62" s="36"/>
      <c r="V62" s="36"/>
      <c r="W62" s="36"/>
      <c r="X62" s="42"/>
      <c r="Y62" s="41"/>
      <c r="Z62" s="41"/>
      <c r="AA62" s="41"/>
      <c r="AB62" s="41"/>
      <c r="AC62" s="41"/>
      <c r="AD62" s="36"/>
      <c r="AE62" s="36"/>
      <c r="AF62" s="36"/>
      <c r="AG62" s="44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36"/>
      <c r="AZ62" s="36"/>
      <c r="BA62" s="45"/>
      <c r="BB62" s="36"/>
      <c r="BC62" s="36"/>
      <c r="BD62" s="63"/>
      <c r="BE62" s="41"/>
      <c r="BF62" s="43"/>
      <c r="BG62" s="41"/>
      <c r="BH62" s="41"/>
      <c r="BI62" s="41"/>
      <c r="BJ62" s="36"/>
      <c r="BK62" s="103"/>
      <c r="BL62" s="41"/>
      <c r="BM62" s="41"/>
      <c r="BN62" s="41"/>
      <c r="BO62" s="41"/>
      <c r="BP62" s="41"/>
      <c r="BQ62" s="104"/>
      <c r="BR62" s="47"/>
      <c r="BS62" s="36"/>
      <c r="BT62" s="36"/>
      <c r="BU62" s="36"/>
      <c r="BV62" s="36"/>
      <c r="BW62" s="36"/>
      <c r="BX62" s="36"/>
      <c r="BY62" s="103"/>
      <c r="BZ62" s="183"/>
      <c r="CA62" s="184"/>
      <c r="CB62" s="36"/>
      <c r="CC62" s="36"/>
      <c r="CD62" s="36"/>
      <c r="CE62" s="36"/>
      <c r="CF62" s="36"/>
      <c r="CG62" s="36"/>
      <c r="CH62" s="36"/>
      <c r="CI62" s="36"/>
      <c r="CJ62" s="36"/>
      <c r="CK62" s="41"/>
      <c r="CL62" s="66"/>
      <c r="CM62" s="66"/>
      <c r="CN62" s="66"/>
      <c r="CO62" s="66"/>
      <c r="CP62" s="6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61"/>
      <c r="DL62" s="41"/>
      <c r="DM62" s="41"/>
      <c r="DN62" s="41"/>
      <c r="DO62" s="41"/>
      <c r="DP62" s="41"/>
      <c r="DQ62" s="41"/>
      <c r="DR62" s="41"/>
      <c r="DS62" s="41"/>
      <c r="DT62" s="41"/>
      <c r="DU62" s="41"/>
    </row>
    <row r="63" spans="1:125" s="48" customFormat="1" ht="16.5" customHeight="1" x14ac:dyDescent="0.3">
      <c r="A63" s="36"/>
      <c r="B63" s="36"/>
      <c r="C63" s="36"/>
      <c r="D63" s="36"/>
      <c r="E63" s="36"/>
      <c r="F63" s="36"/>
      <c r="G63" s="36"/>
      <c r="H63" s="36"/>
      <c r="I63" s="37"/>
      <c r="J63" s="36"/>
      <c r="K63" s="36"/>
      <c r="L63" s="36"/>
      <c r="M63" s="37"/>
      <c r="N63" s="36"/>
      <c r="O63" s="36"/>
      <c r="P63" s="41"/>
      <c r="Q63" s="41"/>
      <c r="R63" s="41"/>
      <c r="S63" s="41"/>
      <c r="T63" s="41"/>
      <c r="U63" s="36"/>
      <c r="V63" s="36"/>
      <c r="W63" s="36"/>
      <c r="X63" s="42"/>
      <c r="Y63" s="41"/>
      <c r="Z63" s="41"/>
      <c r="AA63" s="41"/>
      <c r="AB63" s="41"/>
      <c r="AC63" s="41"/>
      <c r="AD63" s="36"/>
      <c r="AE63" s="36"/>
      <c r="AF63" s="36"/>
      <c r="AG63" s="44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36"/>
      <c r="AZ63" s="36"/>
      <c r="BA63" s="45"/>
      <c r="BB63" s="36"/>
      <c r="BC63" s="36"/>
      <c r="BD63" s="63"/>
      <c r="BE63" s="41"/>
      <c r="BF63" s="43"/>
      <c r="BG63" s="41"/>
      <c r="BH63" s="41"/>
      <c r="BI63" s="41"/>
      <c r="BJ63" s="36"/>
      <c r="BK63" s="103"/>
      <c r="BL63" s="41"/>
      <c r="BM63" s="41"/>
      <c r="BN63" s="41"/>
      <c r="BO63" s="41"/>
      <c r="BP63" s="41"/>
      <c r="BQ63" s="104"/>
      <c r="BR63" s="47"/>
      <c r="BS63" s="36"/>
      <c r="BT63" s="36"/>
      <c r="BU63" s="36"/>
      <c r="BV63" s="36"/>
      <c r="BW63" s="36"/>
      <c r="BX63" s="36"/>
      <c r="BY63" s="103"/>
      <c r="BZ63" s="183"/>
      <c r="CA63" s="184"/>
      <c r="CB63" s="36"/>
      <c r="CC63" s="36"/>
      <c r="CD63" s="36"/>
      <c r="CE63" s="36"/>
      <c r="CF63" s="36"/>
      <c r="CG63" s="36"/>
      <c r="CH63" s="36"/>
      <c r="CI63" s="36"/>
      <c r="CJ63" s="36"/>
      <c r="CK63" s="41"/>
      <c r="CL63" s="66"/>
      <c r="CM63" s="66"/>
      <c r="CN63" s="66"/>
      <c r="CO63" s="66"/>
      <c r="CP63" s="6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61"/>
      <c r="DL63" s="41"/>
      <c r="DM63" s="41"/>
      <c r="DN63" s="41"/>
      <c r="DO63" s="41"/>
      <c r="DP63" s="41"/>
      <c r="DQ63" s="41"/>
      <c r="DR63" s="41"/>
      <c r="DS63" s="41"/>
      <c r="DT63" s="41"/>
      <c r="DU63" s="41"/>
    </row>
    <row r="64" spans="1:125" s="48" customFormat="1" ht="16.5" customHeight="1" x14ac:dyDescent="0.3">
      <c r="A64" s="36"/>
      <c r="B64" s="36"/>
      <c r="C64" s="36"/>
      <c r="D64" s="36"/>
      <c r="E64" s="36"/>
      <c r="F64" s="36"/>
      <c r="G64" s="36"/>
      <c r="H64" s="36"/>
      <c r="I64" s="37"/>
      <c r="J64" s="36"/>
      <c r="K64" s="36"/>
      <c r="L64" s="36"/>
      <c r="M64" s="37"/>
      <c r="N64" s="36"/>
      <c r="O64" s="36"/>
      <c r="P64" s="41"/>
      <c r="Q64" s="41"/>
      <c r="R64" s="41"/>
      <c r="S64" s="41"/>
      <c r="T64" s="41"/>
      <c r="U64" s="36"/>
      <c r="V64" s="36"/>
      <c r="W64" s="36"/>
      <c r="X64" s="42"/>
      <c r="Y64" s="41"/>
      <c r="Z64" s="41"/>
      <c r="AA64" s="41"/>
      <c r="AB64" s="41"/>
      <c r="AC64" s="41"/>
      <c r="AD64" s="36"/>
      <c r="AE64" s="36"/>
      <c r="AF64" s="36"/>
      <c r="AG64" s="44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36"/>
      <c r="AZ64" s="36"/>
      <c r="BA64" s="45"/>
      <c r="BB64" s="36"/>
      <c r="BC64" s="36"/>
      <c r="BD64" s="63"/>
      <c r="BE64" s="41"/>
      <c r="BF64" s="43"/>
      <c r="BG64" s="41"/>
      <c r="BH64" s="41"/>
      <c r="BI64" s="41"/>
      <c r="BJ64" s="36"/>
      <c r="BK64" s="103"/>
      <c r="BL64" s="41"/>
      <c r="BM64" s="41"/>
      <c r="BN64" s="41"/>
      <c r="BO64" s="41"/>
      <c r="BP64" s="41"/>
      <c r="BQ64" s="104"/>
      <c r="BR64" s="47"/>
      <c r="BS64" s="36"/>
      <c r="BT64" s="36"/>
      <c r="BU64" s="36"/>
      <c r="BV64" s="36"/>
      <c r="BW64" s="36"/>
      <c r="BX64" s="36"/>
      <c r="BY64" s="103"/>
      <c r="BZ64" s="183"/>
      <c r="CA64" s="184"/>
      <c r="CB64" s="36"/>
      <c r="CC64" s="36"/>
      <c r="CD64" s="36"/>
      <c r="CE64" s="36"/>
      <c r="CF64" s="36"/>
      <c r="CG64" s="36"/>
      <c r="CH64" s="36"/>
      <c r="CI64" s="36"/>
      <c r="CJ64" s="36"/>
      <c r="CK64" s="41"/>
      <c r="CL64" s="66"/>
      <c r="CM64" s="66"/>
      <c r="CN64" s="66"/>
      <c r="CO64" s="66"/>
      <c r="CP64" s="6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61"/>
      <c r="DL64" s="41"/>
      <c r="DM64" s="41"/>
      <c r="DN64" s="41"/>
      <c r="DO64" s="41"/>
      <c r="DP64" s="41"/>
      <c r="DQ64" s="41"/>
      <c r="DR64" s="41"/>
      <c r="DS64" s="41"/>
      <c r="DT64" s="41"/>
      <c r="DU64" s="41"/>
    </row>
    <row r="65" spans="1:125" s="48" customFormat="1" ht="16.5" customHeight="1" x14ac:dyDescent="0.3">
      <c r="A65" s="36"/>
      <c r="B65" s="36"/>
      <c r="C65" s="36"/>
      <c r="D65" s="36"/>
      <c r="E65" s="36"/>
      <c r="F65" s="36"/>
      <c r="G65" s="36"/>
      <c r="H65" s="36"/>
      <c r="I65" s="37"/>
      <c r="J65" s="36"/>
      <c r="K65" s="36"/>
      <c r="L65" s="36"/>
      <c r="M65" s="37"/>
      <c r="N65" s="36"/>
      <c r="O65" s="36"/>
      <c r="P65" s="41"/>
      <c r="Q65" s="41"/>
      <c r="R65" s="41"/>
      <c r="S65" s="41"/>
      <c r="T65" s="41"/>
      <c r="U65" s="36"/>
      <c r="V65" s="36"/>
      <c r="W65" s="36"/>
      <c r="X65" s="42"/>
      <c r="Y65" s="41"/>
      <c r="Z65" s="41"/>
      <c r="AA65" s="41"/>
      <c r="AB65" s="41"/>
      <c r="AC65" s="41"/>
      <c r="AD65" s="36"/>
      <c r="AE65" s="36"/>
      <c r="AF65" s="36"/>
      <c r="AG65" s="44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36"/>
      <c r="AZ65" s="36"/>
      <c r="BA65" s="45"/>
      <c r="BB65" s="36"/>
      <c r="BC65" s="36"/>
      <c r="BD65" s="63"/>
      <c r="BE65" s="41"/>
      <c r="BF65" s="43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62"/>
      <c r="BS65" s="41"/>
      <c r="BT65" s="41"/>
      <c r="BU65" s="36"/>
      <c r="BV65" s="36"/>
      <c r="BW65" s="36"/>
      <c r="BX65" s="36"/>
      <c r="BY65" s="103"/>
      <c r="BZ65" s="183"/>
      <c r="CA65" s="184"/>
      <c r="CB65" s="36"/>
      <c r="CC65" s="36"/>
      <c r="CD65" s="36"/>
      <c r="CE65" s="36"/>
      <c r="CF65" s="36"/>
      <c r="CG65" s="36"/>
      <c r="CH65" s="36"/>
      <c r="CI65" s="36"/>
      <c r="CJ65" s="36"/>
      <c r="CK65" s="41"/>
      <c r="CL65" s="66"/>
      <c r="CM65" s="66"/>
      <c r="CN65" s="66"/>
      <c r="CO65" s="66"/>
      <c r="CP65" s="6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61"/>
      <c r="DL65" s="41"/>
      <c r="DM65" s="41"/>
      <c r="DN65" s="41"/>
      <c r="DO65" s="41"/>
      <c r="DP65" s="41"/>
      <c r="DQ65" s="41"/>
      <c r="DR65" s="41"/>
      <c r="DS65" s="41"/>
      <c r="DT65" s="41"/>
      <c r="DU65" s="41"/>
    </row>
    <row r="66" spans="1:125" s="48" customFormat="1" ht="16.5" customHeight="1" x14ac:dyDescent="0.3">
      <c r="A66" s="36"/>
      <c r="B66" s="36"/>
      <c r="C66" s="36"/>
      <c r="D66" s="36"/>
      <c r="E66" s="36"/>
      <c r="F66" s="36"/>
      <c r="G66" s="36"/>
      <c r="H66" s="36"/>
      <c r="I66" s="37"/>
      <c r="J66" s="36"/>
      <c r="K66" s="36"/>
      <c r="L66" s="36"/>
      <c r="M66" s="37"/>
      <c r="N66" s="36"/>
      <c r="O66" s="36"/>
      <c r="P66" s="41"/>
      <c r="Q66" s="41"/>
      <c r="R66" s="41"/>
      <c r="S66" s="41"/>
      <c r="T66" s="41"/>
      <c r="U66" s="36"/>
      <c r="V66" s="36"/>
      <c r="W66" s="36"/>
      <c r="X66" s="42"/>
      <c r="Y66" s="41"/>
      <c r="Z66" s="41"/>
      <c r="AA66" s="41"/>
      <c r="AB66" s="41"/>
      <c r="AC66" s="41"/>
      <c r="AD66" s="36"/>
      <c r="AE66" s="36"/>
      <c r="AF66" s="36"/>
      <c r="AG66" s="44"/>
      <c r="AH66" s="41"/>
      <c r="AI66" s="41"/>
      <c r="AJ66" s="41"/>
      <c r="AK66" s="41"/>
      <c r="AL66" s="41"/>
      <c r="AM66" s="41"/>
      <c r="AN66" s="41"/>
      <c r="AO66" s="41"/>
      <c r="AP66" s="41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45"/>
      <c r="BB66" s="36"/>
      <c r="BC66" s="36"/>
      <c r="BD66" s="63"/>
      <c r="BE66" s="41"/>
      <c r="BF66" s="43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62"/>
      <c r="BS66" s="41"/>
      <c r="BT66" s="41"/>
      <c r="BU66" s="36"/>
      <c r="BV66" s="36"/>
      <c r="BW66" s="36"/>
      <c r="BX66" s="36"/>
      <c r="BY66" s="103"/>
      <c r="BZ66" s="183"/>
      <c r="CA66" s="184"/>
      <c r="CB66" s="36"/>
      <c r="CC66" s="36"/>
      <c r="CD66" s="36"/>
      <c r="CE66" s="36"/>
      <c r="CF66" s="36"/>
      <c r="CG66" s="36"/>
      <c r="CH66" s="36"/>
      <c r="CI66" s="36"/>
      <c r="CJ66" s="36"/>
      <c r="CK66" s="41"/>
      <c r="CL66" s="66"/>
      <c r="CM66" s="66"/>
      <c r="CN66" s="66"/>
      <c r="CO66" s="66"/>
      <c r="CP66" s="6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61"/>
      <c r="DL66" s="41"/>
      <c r="DM66" s="41"/>
      <c r="DN66" s="41"/>
      <c r="DO66" s="41"/>
      <c r="DP66" s="41"/>
      <c r="DQ66" s="41"/>
      <c r="DR66" s="41"/>
      <c r="DS66" s="41"/>
      <c r="DT66" s="41"/>
      <c r="DU66" s="41"/>
    </row>
    <row r="67" spans="1:125" s="48" customFormat="1" ht="16.5" customHeight="1" x14ac:dyDescent="0.3">
      <c r="A67" s="36"/>
      <c r="B67" s="36"/>
      <c r="C67" s="36"/>
      <c r="D67" s="36"/>
      <c r="E67" s="36"/>
      <c r="F67" s="36"/>
      <c r="G67" s="36"/>
      <c r="H67" s="36"/>
      <c r="I67" s="37"/>
      <c r="J67" s="36"/>
      <c r="K67" s="36"/>
      <c r="L67" s="36"/>
      <c r="M67" s="37"/>
      <c r="N67" s="36"/>
      <c r="O67" s="36"/>
      <c r="P67" s="41"/>
      <c r="Q67" s="41"/>
      <c r="R67" s="41"/>
      <c r="S67" s="41"/>
      <c r="T67" s="41"/>
      <c r="U67" s="36"/>
      <c r="V67" s="36"/>
      <c r="W67" s="36"/>
      <c r="X67" s="42"/>
      <c r="Y67" s="41"/>
      <c r="Z67" s="41"/>
      <c r="AA67" s="41"/>
      <c r="AB67" s="41"/>
      <c r="AC67" s="41"/>
      <c r="AD67" s="36"/>
      <c r="AE67" s="36"/>
      <c r="AF67" s="36"/>
      <c r="AG67" s="44"/>
      <c r="AH67" s="41"/>
      <c r="AI67" s="41"/>
      <c r="AJ67" s="41"/>
      <c r="AK67" s="41"/>
      <c r="AL67" s="41"/>
      <c r="AM67" s="41"/>
      <c r="AN67" s="41"/>
      <c r="AO67" s="41"/>
      <c r="AP67" s="41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45"/>
      <c r="BB67" s="36"/>
      <c r="BC67" s="36"/>
      <c r="BD67" s="63"/>
      <c r="BE67" s="41"/>
      <c r="BF67" s="43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62"/>
      <c r="BS67" s="41"/>
      <c r="BT67" s="41"/>
      <c r="BU67" s="36"/>
      <c r="BV67" s="36"/>
      <c r="BW67" s="36"/>
      <c r="BX67" s="36"/>
      <c r="BY67" s="103"/>
      <c r="BZ67" s="183"/>
      <c r="CA67" s="184"/>
      <c r="CB67" s="36"/>
      <c r="CC67" s="36"/>
      <c r="CD67" s="36"/>
      <c r="CE67" s="36"/>
      <c r="CF67" s="36"/>
      <c r="CG67" s="36"/>
      <c r="CH67" s="36"/>
      <c r="CI67" s="36"/>
      <c r="CJ67" s="36"/>
      <c r="CK67" s="41"/>
      <c r="CL67" s="66"/>
      <c r="CM67" s="66"/>
      <c r="CN67" s="66"/>
      <c r="CO67" s="66"/>
      <c r="CP67" s="6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61"/>
      <c r="DL67" s="41"/>
      <c r="DM67" s="41"/>
      <c r="DN67" s="41"/>
      <c r="DO67" s="41"/>
      <c r="DP67" s="41"/>
      <c r="DQ67" s="41"/>
      <c r="DR67" s="41"/>
      <c r="DS67" s="41"/>
      <c r="DT67" s="41"/>
      <c r="DU67" s="41"/>
    </row>
    <row r="68" spans="1:125" s="48" customFormat="1" ht="16.5" customHeight="1" x14ac:dyDescent="0.3">
      <c r="A68" s="36"/>
      <c r="B68" s="36"/>
      <c r="C68" s="36"/>
      <c r="D68" s="36"/>
      <c r="E68" s="36"/>
      <c r="F68" s="36"/>
      <c r="G68" s="36"/>
      <c r="H68" s="36"/>
      <c r="I68" s="37"/>
      <c r="J68" s="36"/>
      <c r="K68" s="36"/>
      <c r="L68" s="36"/>
      <c r="M68" s="37"/>
      <c r="N68" s="36"/>
      <c r="O68" s="36"/>
      <c r="P68" s="41"/>
      <c r="Q68" s="41"/>
      <c r="R68" s="41"/>
      <c r="S68" s="41"/>
      <c r="T68" s="41"/>
      <c r="U68" s="36"/>
      <c r="V68" s="36"/>
      <c r="W68" s="36"/>
      <c r="X68" s="42"/>
      <c r="Y68" s="41"/>
      <c r="Z68" s="41"/>
      <c r="AA68" s="41"/>
      <c r="AB68" s="41"/>
      <c r="AC68" s="41"/>
      <c r="AD68" s="36"/>
      <c r="AE68" s="36"/>
      <c r="AF68" s="36"/>
      <c r="AG68" s="44"/>
      <c r="AH68" s="41"/>
      <c r="AI68" s="41"/>
      <c r="AJ68" s="41"/>
      <c r="AK68" s="41"/>
      <c r="AL68" s="41"/>
      <c r="AM68" s="41"/>
      <c r="AN68" s="41"/>
      <c r="AO68" s="41"/>
      <c r="AP68" s="41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45"/>
      <c r="BB68" s="36"/>
      <c r="BC68" s="36"/>
      <c r="BD68" s="63"/>
      <c r="BE68" s="41"/>
      <c r="BF68" s="43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62"/>
      <c r="BS68" s="41"/>
      <c r="BT68" s="41"/>
      <c r="BU68" s="36"/>
      <c r="BV68" s="36"/>
      <c r="BW68" s="36"/>
      <c r="BX68" s="36"/>
      <c r="BY68" s="103"/>
      <c r="BZ68" s="183"/>
      <c r="CA68" s="184"/>
      <c r="CB68" s="36"/>
      <c r="CC68" s="36"/>
      <c r="CD68" s="36"/>
      <c r="CE68" s="36"/>
      <c r="CF68" s="36"/>
      <c r="CG68" s="36"/>
      <c r="CH68" s="36"/>
      <c r="CI68" s="36"/>
      <c r="CJ68" s="36"/>
      <c r="CK68" s="41"/>
      <c r="CL68" s="66"/>
      <c r="CM68" s="66"/>
      <c r="CN68" s="66"/>
      <c r="CO68" s="66"/>
      <c r="CP68" s="6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61"/>
      <c r="DL68" s="41"/>
      <c r="DM68" s="41"/>
      <c r="DN68" s="41"/>
      <c r="DO68" s="41"/>
      <c r="DP68" s="41"/>
      <c r="DQ68" s="41"/>
      <c r="DR68" s="41"/>
      <c r="DS68" s="41"/>
      <c r="DT68" s="41"/>
      <c r="DU68" s="41"/>
    </row>
    <row r="69" spans="1:125" s="48" customFormat="1" ht="16.5" customHeight="1" x14ac:dyDescent="0.3">
      <c r="A69" s="36"/>
      <c r="B69" s="36"/>
      <c r="C69" s="36"/>
      <c r="D69" s="36"/>
      <c r="E69" s="36"/>
      <c r="F69" s="36"/>
      <c r="G69" s="36"/>
      <c r="H69" s="36"/>
      <c r="I69" s="37"/>
      <c r="J69" s="36"/>
      <c r="K69" s="36"/>
      <c r="L69" s="36"/>
      <c r="M69" s="37"/>
      <c r="N69" s="36"/>
      <c r="O69" s="36"/>
      <c r="P69" s="41"/>
      <c r="Q69" s="41"/>
      <c r="R69" s="41"/>
      <c r="S69" s="41"/>
      <c r="T69" s="41"/>
      <c r="U69" s="36"/>
      <c r="V69" s="36"/>
      <c r="W69" s="36"/>
      <c r="X69" s="42"/>
      <c r="Y69" s="41"/>
      <c r="Z69" s="41"/>
      <c r="AA69" s="41"/>
      <c r="AB69" s="41"/>
      <c r="AC69" s="41"/>
      <c r="AD69" s="36"/>
      <c r="AE69" s="36"/>
      <c r="AF69" s="36"/>
      <c r="AG69" s="44"/>
      <c r="AH69" s="41"/>
      <c r="AI69" s="41"/>
      <c r="AJ69" s="41"/>
      <c r="AK69" s="41"/>
      <c r="AL69" s="41"/>
      <c r="AM69" s="41"/>
      <c r="AN69" s="41"/>
      <c r="AO69" s="41"/>
      <c r="AP69" s="41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45"/>
      <c r="BB69" s="36"/>
      <c r="BC69" s="36"/>
      <c r="BD69" s="63"/>
      <c r="BE69" s="41"/>
      <c r="BF69" s="43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62"/>
      <c r="BS69" s="41"/>
      <c r="BT69" s="41"/>
      <c r="BU69" s="36"/>
      <c r="BV69" s="36"/>
      <c r="BW69" s="36"/>
      <c r="BX69" s="36"/>
      <c r="BY69" s="103"/>
      <c r="BZ69" s="183"/>
      <c r="CA69" s="184"/>
      <c r="CB69" s="36"/>
      <c r="CC69" s="36"/>
      <c r="CD69" s="36"/>
      <c r="CE69" s="36"/>
      <c r="CF69" s="36"/>
      <c r="CG69" s="36"/>
      <c r="CH69" s="36"/>
      <c r="CI69" s="36"/>
      <c r="CJ69" s="36"/>
      <c r="CK69" s="41"/>
      <c r="CL69" s="66"/>
      <c r="CM69" s="66"/>
      <c r="CN69" s="66"/>
      <c r="CO69" s="66"/>
      <c r="CP69" s="6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61"/>
      <c r="DL69" s="41"/>
      <c r="DM69" s="41"/>
      <c r="DN69" s="41"/>
      <c r="DO69" s="41"/>
      <c r="DP69" s="41"/>
      <c r="DQ69" s="41"/>
      <c r="DR69" s="41"/>
      <c r="DS69" s="41"/>
      <c r="DT69" s="41"/>
      <c r="DU69" s="41"/>
    </row>
    <row r="70" spans="1:125" s="48" customFormat="1" ht="16.5" customHeight="1" x14ac:dyDescent="0.3">
      <c r="A70" s="36"/>
      <c r="B70" s="36"/>
      <c r="C70" s="36"/>
      <c r="D70" s="36"/>
      <c r="E70" s="36"/>
      <c r="F70" s="36"/>
      <c r="G70" s="36"/>
      <c r="H70" s="36"/>
      <c r="I70" s="37"/>
      <c r="J70" s="36"/>
      <c r="K70" s="36"/>
      <c r="L70" s="36"/>
      <c r="M70" s="37"/>
      <c r="N70" s="36"/>
      <c r="O70" s="36"/>
      <c r="P70" s="41"/>
      <c r="Q70" s="41"/>
      <c r="R70" s="41"/>
      <c r="S70" s="41"/>
      <c r="T70" s="41"/>
      <c r="U70" s="36"/>
      <c r="V70" s="36"/>
      <c r="W70" s="36"/>
      <c r="X70" s="42"/>
      <c r="Y70" s="41"/>
      <c r="Z70" s="41"/>
      <c r="AA70" s="41"/>
      <c r="AB70" s="41"/>
      <c r="AC70" s="41"/>
      <c r="AD70" s="36"/>
      <c r="AE70" s="36"/>
      <c r="AF70" s="36"/>
      <c r="AG70" s="44"/>
      <c r="AH70" s="41"/>
      <c r="AI70" s="41"/>
      <c r="AJ70" s="41"/>
      <c r="AK70" s="41"/>
      <c r="AL70" s="41"/>
      <c r="AM70" s="41"/>
      <c r="AN70" s="41"/>
      <c r="AO70" s="41"/>
      <c r="AP70" s="41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45"/>
      <c r="BB70" s="36"/>
      <c r="BC70" s="36"/>
      <c r="BD70" s="63"/>
      <c r="BE70" s="41"/>
      <c r="BF70" s="43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62"/>
      <c r="BS70" s="41"/>
      <c r="BT70" s="41"/>
      <c r="BU70" s="36"/>
      <c r="BV70" s="36"/>
      <c r="BW70" s="36"/>
      <c r="BX70" s="36"/>
      <c r="BY70" s="103"/>
      <c r="BZ70" s="183"/>
      <c r="CA70" s="184"/>
      <c r="CB70" s="36"/>
      <c r="CC70" s="36"/>
      <c r="CD70" s="36"/>
      <c r="CE70" s="36"/>
      <c r="CF70" s="36"/>
      <c r="CG70" s="36"/>
      <c r="CH70" s="36"/>
      <c r="CI70" s="36"/>
      <c r="CJ70" s="36"/>
      <c r="CK70" s="41"/>
      <c r="CL70" s="66"/>
      <c r="CM70" s="66"/>
      <c r="CN70" s="66"/>
      <c r="CO70" s="66"/>
      <c r="CP70" s="6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61"/>
      <c r="DL70" s="41"/>
      <c r="DM70" s="41"/>
      <c r="DN70" s="41"/>
      <c r="DO70" s="41"/>
      <c r="DP70" s="41"/>
      <c r="DQ70" s="41"/>
      <c r="DR70" s="41"/>
      <c r="DS70" s="41"/>
      <c r="DT70" s="41"/>
      <c r="DU70" s="41"/>
    </row>
    <row r="71" spans="1:125" s="48" customFormat="1" ht="16.5" customHeight="1" x14ac:dyDescent="0.3">
      <c r="A71" s="36"/>
      <c r="B71" s="36"/>
      <c r="C71" s="36"/>
      <c r="D71" s="36"/>
      <c r="E71" s="36"/>
      <c r="F71" s="36"/>
      <c r="G71" s="36"/>
      <c r="H71" s="36"/>
      <c r="I71" s="37"/>
      <c r="J71" s="36"/>
      <c r="K71" s="36"/>
      <c r="L71" s="36"/>
      <c r="M71" s="37"/>
      <c r="N71" s="36"/>
      <c r="O71" s="36"/>
      <c r="P71" s="41"/>
      <c r="Q71" s="41"/>
      <c r="R71" s="41"/>
      <c r="S71" s="41"/>
      <c r="T71" s="41"/>
      <c r="U71" s="36"/>
      <c r="V71" s="36"/>
      <c r="W71" s="36"/>
      <c r="X71" s="42"/>
      <c r="Y71" s="41"/>
      <c r="Z71" s="41"/>
      <c r="AA71" s="41"/>
      <c r="AB71" s="41"/>
      <c r="AC71" s="41"/>
      <c r="AD71" s="36"/>
      <c r="AE71" s="36"/>
      <c r="AF71" s="36"/>
      <c r="AG71" s="44"/>
      <c r="AH71" s="41"/>
      <c r="AI71" s="41"/>
      <c r="AJ71" s="41"/>
      <c r="AK71" s="41"/>
      <c r="AL71" s="41"/>
      <c r="AM71" s="41"/>
      <c r="AN71" s="41"/>
      <c r="AO71" s="41"/>
      <c r="AP71" s="41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45"/>
      <c r="BB71" s="36"/>
      <c r="BC71" s="36"/>
      <c r="BD71" s="63"/>
      <c r="BE71" s="41"/>
      <c r="BF71" s="43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62"/>
      <c r="BS71" s="41"/>
      <c r="BT71" s="41"/>
      <c r="BU71" s="36"/>
      <c r="BV71" s="36"/>
      <c r="BW71" s="36"/>
      <c r="BX71" s="36"/>
      <c r="BY71" s="103"/>
      <c r="BZ71" s="183"/>
      <c r="CA71" s="184"/>
      <c r="CB71" s="36"/>
      <c r="CC71" s="36"/>
      <c r="CD71" s="36"/>
      <c r="CE71" s="36"/>
      <c r="CF71" s="36"/>
      <c r="CG71" s="36"/>
      <c r="CH71" s="36"/>
      <c r="CI71" s="36"/>
      <c r="CJ71" s="36"/>
      <c r="CK71" s="41"/>
      <c r="CL71" s="66"/>
      <c r="CM71" s="66"/>
      <c r="CN71" s="66"/>
      <c r="CO71" s="66"/>
      <c r="CP71" s="6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61"/>
      <c r="DL71" s="41"/>
      <c r="DM71" s="41"/>
      <c r="DN71" s="41"/>
      <c r="DO71" s="41"/>
      <c r="DP71" s="41"/>
      <c r="DQ71" s="41"/>
      <c r="DR71" s="41"/>
      <c r="DS71" s="41"/>
      <c r="DT71" s="41"/>
      <c r="DU71" s="41"/>
    </row>
    <row r="72" spans="1:125" s="48" customFormat="1" ht="16.5" customHeight="1" x14ac:dyDescent="0.3">
      <c r="A72" s="36"/>
      <c r="B72" s="36"/>
      <c r="C72" s="36"/>
      <c r="D72" s="36"/>
      <c r="E72" s="36"/>
      <c r="F72" s="36"/>
      <c r="G72" s="36"/>
      <c r="H72" s="36"/>
      <c r="I72" s="37"/>
      <c r="J72" s="36"/>
      <c r="K72" s="36"/>
      <c r="L72" s="36"/>
      <c r="M72" s="37"/>
      <c r="N72" s="36"/>
      <c r="O72" s="36"/>
      <c r="P72" s="41"/>
      <c r="Q72" s="41"/>
      <c r="R72" s="41"/>
      <c r="S72" s="41"/>
      <c r="T72" s="41"/>
      <c r="U72" s="36"/>
      <c r="V72" s="36"/>
      <c r="W72" s="36"/>
      <c r="X72" s="42"/>
      <c r="Y72" s="41"/>
      <c r="Z72" s="41"/>
      <c r="AA72" s="41"/>
      <c r="AB72" s="41"/>
      <c r="AC72" s="41"/>
      <c r="AD72" s="36"/>
      <c r="AE72" s="36"/>
      <c r="AF72" s="36"/>
      <c r="AG72" s="44"/>
      <c r="AH72" s="41"/>
      <c r="AI72" s="41"/>
      <c r="AJ72" s="41"/>
      <c r="AK72" s="41"/>
      <c r="AL72" s="41"/>
      <c r="AM72" s="41"/>
      <c r="AN72" s="41"/>
      <c r="AO72" s="41"/>
      <c r="AP72" s="41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45"/>
      <c r="BB72" s="36"/>
      <c r="BC72" s="36"/>
      <c r="BD72" s="63"/>
      <c r="BE72" s="41"/>
      <c r="BF72" s="43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62"/>
      <c r="BS72" s="41"/>
      <c r="BT72" s="41"/>
      <c r="BU72" s="36"/>
      <c r="BV72" s="36"/>
      <c r="BW72" s="36"/>
      <c r="BX72" s="36"/>
      <c r="BY72" s="103"/>
      <c r="BZ72" s="183"/>
      <c r="CA72" s="184"/>
      <c r="CB72" s="36"/>
      <c r="CC72" s="36"/>
      <c r="CD72" s="36"/>
      <c r="CE72" s="36"/>
      <c r="CF72" s="36"/>
      <c r="CG72" s="36"/>
      <c r="CH72" s="36"/>
      <c r="CI72" s="36"/>
      <c r="CJ72" s="36"/>
      <c r="CK72" s="41"/>
      <c r="CL72" s="66"/>
      <c r="CM72" s="66"/>
      <c r="CN72" s="66"/>
      <c r="CO72" s="66"/>
      <c r="CP72" s="6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61"/>
      <c r="DL72" s="41"/>
      <c r="DM72" s="41"/>
      <c r="DN72" s="41"/>
      <c r="DO72" s="41"/>
      <c r="DP72" s="41"/>
      <c r="DQ72" s="41"/>
      <c r="DR72" s="41"/>
      <c r="DS72" s="41"/>
      <c r="DT72" s="41"/>
      <c r="DU72" s="41"/>
    </row>
    <row r="73" spans="1:125" s="48" customFormat="1" ht="16.5" customHeight="1" x14ac:dyDescent="0.3">
      <c r="A73" s="36"/>
      <c r="B73" s="36"/>
      <c r="C73" s="36"/>
      <c r="D73" s="36"/>
      <c r="E73" s="36"/>
      <c r="F73" s="36"/>
      <c r="G73" s="36"/>
      <c r="H73" s="36"/>
      <c r="I73" s="37"/>
      <c r="J73" s="36"/>
      <c r="K73" s="36"/>
      <c r="L73" s="36"/>
      <c r="M73" s="37"/>
      <c r="N73" s="36"/>
      <c r="O73" s="36"/>
      <c r="P73" s="41"/>
      <c r="Q73" s="41"/>
      <c r="R73" s="41"/>
      <c r="S73" s="41"/>
      <c r="T73" s="41"/>
      <c r="U73" s="36"/>
      <c r="V73" s="36"/>
      <c r="W73" s="36"/>
      <c r="X73" s="42"/>
      <c r="Y73" s="41"/>
      <c r="Z73" s="41"/>
      <c r="AA73" s="41"/>
      <c r="AB73" s="41"/>
      <c r="AC73" s="41"/>
      <c r="AD73" s="36"/>
      <c r="AE73" s="36"/>
      <c r="AF73" s="36"/>
      <c r="AG73" s="44"/>
      <c r="AH73" s="41"/>
      <c r="AI73" s="41"/>
      <c r="AJ73" s="41"/>
      <c r="AK73" s="41"/>
      <c r="AL73" s="41"/>
      <c r="AM73" s="41"/>
      <c r="AN73" s="41"/>
      <c r="AO73" s="41"/>
      <c r="AP73" s="41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45"/>
      <c r="BB73" s="36"/>
      <c r="BC73" s="36"/>
      <c r="BD73" s="63"/>
      <c r="BE73" s="41"/>
      <c r="BF73" s="43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62"/>
      <c r="BS73" s="41"/>
      <c r="BT73" s="41"/>
      <c r="BU73" s="36"/>
      <c r="BV73" s="36"/>
      <c r="BW73" s="36"/>
      <c r="BX73" s="36"/>
      <c r="BY73" s="103"/>
      <c r="BZ73" s="183"/>
      <c r="CA73" s="184"/>
      <c r="CB73" s="36"/>
      <c r="CC73" s="36"/>
      <c r="CD73" s="36"/>
      <c r="CE73" s="36"/>
      <c r="CF73" s="36"/>
      <c r="CG73" s="36"/>
      <c r="CH73" s="36"/>
      <c r="CI73" s="36"/>
      <c r="CJ73" s="36"/>
      <c r="CK73" s="41"/>
      <c r="CL73" s="66"/>
      <c r="CM73" s="66"/>
      <c r="CN73" s="66"/>
      <c r="CO73" s="66"/>
      <c r="CP73" s="6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61"/>
      <c r="DL73" s="41"/>
      <c r="DM73" s="41"/>
      <c r="DN73" s="41"/>
      <c r="DO73" s="41"/>
      <c r="DP73" s="41"/>
      <c r="DQ73" s="41"/>
      <c r="DR73" s="41"/>
      <c r="DS73" s="41"/>
      <c r="DT73" s="41"/>
      <c r="DU73" s="41"/>
    </row>
    <row r="74" spans="1:125" s="48" customFormat="1" ht="16.5" customHeight="1" x14ac:dyDescent="0.3">
      <c r="A74" s="36"/>
      <c r="B74" s="36"/>
      <c r="C74" s="36"/>
      <c r="D74" s="36"/>
      <c r="E74" s="36"/>
      <c r="F74" s="36"/>
      <c r="G74" s="36"/>
      <c r="H74" s="36"/>
      <c r="I74" s="37"/>
      <c r="J74" s="36"/>
      <c r="K74" s="36"/>
      <c r="L74" s="36"/>
      <c r="M74" s="37"/>
      <c r="N74" s="36"/>
      <c r="O74" s="36"/>
      <c r="P74" s="41"/>
      <c r="Q74" s="41"/>
      <c r="R74" s="41"/>
      <c r="S74" s="41"/>
      <c r="T74" s="41"/>
      <c r="U74" s="36"/>
      <c r="V74" s="36"/>
      <c r="W74" s="36"/>
      <c r="X74" s="42"/>
      <c r="Y74" s="41"/>
      <c r="Z74" s="41"/>
      <c r="AA74" s="41"/>
      <c r="AB74" s="41"/>
      <c r="AC74" s="41"/>
      <c r="AD74" s="36"/>
      <c r="AE74" s="36"/>
      <c r="AF74" s="36"/>
      <c r="AG74" s="44"/>
      <c r="AH74" s="41"/>
      <c r="AI74" s="41"/>
      <c r="AJ74" s="41"/>
      <c r="AK74" s="41"/>
      <c r="AL74" s="41"/>
      <c r="AM74" s="41"/>
      <c r="AN74" s="41"/>
      <c r="AO74" s="41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45"/>
      <c r="BB74" s="36"/>
      <c r="BC74" s="36"/>
      <c r="BD74" s="63"/>
      <c r="BE74" s="41"/>
      <c r="BF74" s="43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62"/>
      <c r="BS74" s="41"/>
      <c r="BT74" s="41"/>
      <c r="BU74" s="36"/>
      <c r="BV74" s="36"/>
      <c r="BW74" s="36"/>
      <c r="BX74" s="36"/>
      <c r="BY74" s="103"/>
      <c r="BZ74" s="183"/>
      <c r="CA74" s="184"/>
      <c r="CB74" s="36"/>
      <c r="CC74" s="36"/>
      <c r="CD74" s="36"/>
      <c r="CE74" s="36"/>
      <c r="CF74" s="36"/>
      <c r="CG74" s="36"/>
      <c r="CH74" s="36"/>
      <c r="CI74" s="36"/>
      <c r="CJ74" s="36"/>
      <c r="CK74" s="41"/>
      <c r="CL74" s="66"/>
      <c r="CM74" s="66"/>
      <c r="CN74" s="66"/>
      <c r="CO74" s="66"/>
      <c r="CP74" s="6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61"/>
      <c r="DL74" s="41"/>
      <c r="DM74" s="41"/>
      <c r="DN74" s="41"/>
      <c r="DO74" s="41"/>
      <c r="DP74" s="41"/>
      <c r="DQ74" s="41"/>
      <c r="DR74" s="41"/>
      <c r="DS74" s="41"/>
      <c r="DT74" s="41"/>
      <c r="DU74" s="41"/>
    </row>
    <row r="75" spans="1:125" s="48" customFormat="1" ht="16.5" customHeight="1" x14ac:dyDescent="0.3">
      <c r="A75" s="36"/>
      <c r="B75" s="36"/>
      <c r="C75" s="36"/>
      <c r="D75" s="36"/>
      <c r="E75" s="36"/>
      <c r="F75" s="36"/>
      <c r="G75" s="36"/>
      <c r="H75" s="36"/>
      <c r="I75" s="37"/>
      <c r="J75" s="36"/>
      <c r="K75" s="36"/>
      <c r="L75" s="36"/>
      <c r="M75" s="37"/>
      <c r="N75" s="36"/>
      <c r="O75" s="36"/>
      <c r="P75" s="41"/>
      <c r="Q75" s="41"/>
      <c r="R75" s="41"/>
      <c r="S75" s="41"/>
      <c r="T75" s="41"/>
      <c r="U75" s="36"/>
      <c r="V75" s="36"/>
      <c r="W75" s="36"/>
      <c r="X75" s="42"/>
      <c r="Y75" s="41"/>
      <c r="Z75" s="41"/>
      <c r="AA75" s="41"/>
      <c r="AB75" s="41"/>
      <c r="AC75" s="41"/>
      <c r="AD75" s="36"/>
      <c r="AE75" s="36"/>
      <c r="AF75" s="36"/>
      <c r="AG75" s="105"/>
      <c r="AH75" s="72"/>
      <c r="AI75" s="72"/>
      <c r="AJ75" s="72"/>
      <c r="AK75" s="72"/>
      <c r="AL75" s="72"/>
      <c r="AM75" s="72"/>
      <c r="AN75" s="104"/>
      <c r="AO75" s="41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45"/>
      <c r="BB75" s="36"/>
      <c r="BC75" s="36"/>
      <c r="BD75" s="63"/>
      <c r="BE75" s="41"/>
      <c r="BF75" s="43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62"/>
      <c r="BS75" s="41"/>
      <c r="BT75" s="41"/>
      <c r="BU75" s="36"/>
      <c r="BV75" s="36"/>
      <c r="BW75" s="36"/>
      <c r="BX75" s="36"/>
      <c r="BY75" s="103"/>
      <c r="BZ75" s="183"/>
      <c r="CA75" s="184"/>
      <c r="CB75" s="36"/>
      <c r="CC75" s="36"/>
      <c r="CD75" s="36"/>
      <c r="CE75" s="36"/>
      <c r="CF75" s="36"/>
      <c r="CG75" s="36"/>
      <c r="CH75" s="36"/>
      <c r="CI75" s="36"/>
      <c r="CJ75" s="36"/>
      <c r="CK75" s="41"/>
      <c r="CL75" s="66"/>
      <c r="CM75" s="66"/>
      <c r="CN75" s="66"/>
      <c r="CO75" s="66"/>
      <c r="CP75" s="6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61"/>
      <c r="DL75" s="41"/>
      <c r="DM75" s="41"/>
      <c r="DN75" s="41"/>
      <c r="DO75" s="41"/>
      <c r="DP75" s="41"/>
      <c r="DQ75" s="41"/>
      <c r="DR75" s="41"/>
      <c r="DS75" s="41"/>
      <c r="DT75" s="41"/>
      <c r="DU75" s="41"/>
    </row>
    <row r="76" spans="1:125" s="48" customFormat="1" ht="16.5" customHeight="1" x14ac:dyDescent="0.3">
      <c r="A76" s="36"/>
      <c r="B76" s="36"/>
      <c r="C76" s="36"/>
      <c r="D76" s="36"/>
      <c r="E76" s="36"/>
      <c r="F76" s="36"/>
      <c r="G76" s="36"/>
      <c r="H76" s="36"/>
      <c r="I76" s="37"/>
      <c r="J76" s="36"/>
      <c r="K76" s="36"/>
      <c r="L76" s="36"/>
      <c r="M76" s="37"/>
      <c r="N76" s="36"/>
      <c r="O76" s="36"/>
      <c r="P76" s="41"/>
      <c r="Q76" s="41"/>
      <c r="R76" s="41"/>
      <c r="S76" s="41"/>
      <c r="T76" s="41"/>
      <c r="U76" s="36"/>
      <c r="V76" s="36"/>
      <c r="W76" s="36"/>
      <c r="X76" s="42"/>
      <c r="Y76" s="41"/>
      <c r="Z76" s="41"/>
      <c r="AA76" s="41"/>
      <c r="AB76" s="41"/>
      <c r="AC76" s="41"/>
      <c r="AD76" s="36"/>
      <c r="AE76" s="36"/>
      <c r="AF76" s="36"/>
      <c r="AG76" s="44"/>
      <c r="AH76" s="41"/>
      <c r="AI76" s="41"/>
      <c r="AJ76" s="41"/>
      <c r="AK76" s="41"/>
      <c r="AL76" s="41"/>
      <c r="AM76" s="41"/>
      <c r="AN76" s="41"/>
      <c r="AO76" s="41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45"/>
      <c r="BB76" s="36"/>
      <c r="BC76" s="36"/>
      <c r="BD76" s="63"/>
      <c r="BE76" s="41"/>
      <c r="BF76" s="43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62"/>
      <c r="BS76" s="41"/>
      <c r="BT76" s="41"/>
      <c r="BU76" s="36"/>
      <c r="BV76" s="36"/>
      <c r="BW76" s="36"/>
      <c r="BX76" s="36"/>
      <c r="BY76" s="103"/>
      <c r="BZ76" s="183"/>
      <c r="CA76" s="184"/>
      <c r="CB76" s="36"/>
      <c r="CC76" s="36"/>
      <c r="CD76" s="36"/>
      <c r="CE76" s="36"/>
      <c r="CF76" s="36"/>
      <c r="CG76" s="36"/>
      <c r="CH76" s="36"/>
      <c r="CI76" s="36"/>
      <c r="CJ76" s="36"/>
      <c r="CK76" s="41"/>
      <c r="CL76" s="66"/>
      <c r="CM76" s="66"/>
      <c r="CN76" s="66"/>
      <c r="CO76" s="66"/>
      <c r="CP76" s="6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61"/>
      <c r="DL76" s="41"/>
      <c r="DM76" s="41"/>
      <c r="DN76" s="41"/>
      <c r="DO76" s="41"/>
      <c r="DP76" s="41"/>
      <c r="DQ76" s="41"/>
      <c r="DR76" s="41"/>
      <c r="DS76" s="41"/>
      <c r="DT76" s="41"/>
      <c r="DU76" s="41"/>
    </row>
    <row r="77" spans="1:125" s="48" customFormat="1" ht="16.5" customHeight="1" x14ac:dyDescent="0.3">
      <c r="A77" s="36"/>
      <c r="B77" s="36"/>
      <c r="C77" s="36"/>
      <c r="D77" s="36"/>
      <c r="E77" s="36"/>
      <c r="F77" s="36"/>
      <c r="G77" s="36"/>
      <c r="H77" s="36"/>
      <c r="I77" s="37"/>
      <c r="J77" s="36"/>
      <c r="K77" s="36"/>
      <c r="L77" s="36"/>
      <c r="M77" s="37"/>
      <c r="N77" s="36"/>
      <c r="O77" s="36"/>
      <c r="P77" s="41"/>
      <c r="Q77" s="41"/>
      <c r="R77" s="41"/>
      <c r="S77" s="41"/>
      <c r="T77" s="41"/>
      <c r="U77" s="36"/>
      <c r="V77" s="36"/>
      <c r="W77" s="36"/>
      <c r="X77" s="42"/>
      <c r="Y77" s="41"/>
      <c r="Z77" s="41"/>
      <c r="AA77" s="41"/>
      <c r="AB77" s="41"/>
      <c r="AC77" s="41"/>
      <c r="AD77" s="36"/>
      <c r="AE77" s="36"/>
      <c r="AF77" s="36"/>
      <c r="AG77" s="44"/>
      <c r="AH77" s="41"/>
      <c r="AI77" s="41"/>
      <c r="AJ77" s="41"/>
      <c r="AK77" s="41"/>
      <c r="AL77" s="41"/>
      <c r="AM77" s="41"/>
      <c r="AN77" s="41"/>
      <c r="AO77" s="41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45"/>
      <c r="BB77" s="36"/>
      <c r="BC77" s="36"/>
      <c r="BD77" s="63"/>
      <c r="BE77" s="41"/>
      <c r="BF77" s="43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62"/>
      <c r="BS77" s="41"/>
      <c r="BT77" s="41"/>
      <c r="BU77" s="36"/>
      <c r="BV77" s="36"/>
      <c r="BW77" s="36"/>
      <c r="BX77" s="36"/>
      <c r="BY77" s="103"/>
      <c r="BZ77" s="183"/>
      <c r="CA77" s="184"/>
      <c r="CB77" s="36"/>
      <c r="CC77" s="36"/>
      <c r="CD77" s="36"/>
      <c r="CE77" s="36"/>
      <c r="CF77" s="36"/>
      <c r="CG77" s="36"/>
      <c r="CH77" s="36"/>
      <c r="CI77" s="36"/>
      <c r="CJ77" s="36"/>
      <c r="CK77" s="41"/>
      <c r="CL77" s="66"/>
      <c r="CM77" s="66"/>
      <c r="CN77" s="66"/>
      <c r="CO77" s="66"/>
      <c r="CP77" s="6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61"/>
      <c r="DL77" s="41"/>
      <c r="DM77" s="41"/>
      <c r="DN77" s="41"/>
      <c r="DO77" s="41"/>
      <c r="DP77" s="41"/>
      <c r="DQ77" s="41"/>
      <c r="DR77" s="41"/>
      <c r="DS77" s="41"/>
      <c r="DT77" s="41"/>
      <c r="DU77" s="41"/>
    </row>
    <row r="78" spans="1:125" s="48" customFormat="1" ht="16.5" customHeight="1" x14ac:dyDescent="0.3">
      <c r="A78" s="36"/>
      <c r="B78" s="36"/>
      <c r="C78" s="36"/>
      <c r="D78" s="36"/>
      <c r="E78" s="36"/>
      <c r="F78" s="36"/>
      <c r="G78" s="36"/>
      <c r="H78" s="36"/>
      <c r="I78" s="37"/>
      <c r="J78" s="36"/>
      <c r="K78" s="36"/>
      <c r="L78" s="36"/>
      <c r="M78" s="37"/>
      <c r="N78" s="36"/>
      <c r="O78" s="36"/>
      <c r="P78" s="41"/>
      <c r="Q78" s="41"/>
      <c r="R78" s="41"/>
      <c r="S78" s="41"/>
      <c r="T78" s="41"/>
      <c r="U78" s="36"/>
      <c r="V78" s="36"/>
      <c r="W78" s="36"/>
      <c r="X78" s="42"/>
      <c r="Y78" s="41"/>
      <c r="Z78" s="41"/>
      <c r="AA78" s="41"/>
      <c r="AB78" s="41"/>
      <c r="AC78" s="41"/>
      <c r="AD78" s="36"/>
      <c r="AE78" s="36"/>
      <c r="AF78" s="36"/>
      <c r="AG78" s="44"/>
      <c r="AH78" s="41"/>
      <c r="AI78" s="41"/>
      <c r="AJ78" s="41"/>
      <c r="AK78" s="41"/>
      <c r="AL78" s="41"/>
      <c r="AM78" s="41"/>
      <c r="AN78" s="41"/>
      <c r="AO78" s="41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45"/>
      <c r="BB78" s="36"/>
      <c r="BC78" s="36"/>
      <c r="BD78" s="63"/>
      <c r="BE78" s="41"/>
      <c r="BF78" s="43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62"/>
      <c r="BS78" s="41"/>
      <c r="BT78" s="41"/>
      <c r="BU78" s="36"/>
      <c r="BV78" s="36"/>
      <c r="BW78" s="36"/>
      <c r="BX78" s="36"/>
      <c r="BY78" s="103"/>
      <c r="BZ78" s="183"/>
      <c r="CA78" s="184"/>
      <c r="CB78" s="36"/>
      <c r="CC78" s="36"/>
      <c r="CD78" s="36"/>
      <c r="CE78" s="36"/>
      <c r="CF78" s="36"/>
      <c r="CG78" s="36"/>
      <c r="CH78" s="36"/>
      <c r="CI78" s="36"/>
      <c r="CJ78" s="36"/>
      <c r="CK78" s="41"/>
      <c r="CL78" s="66"/>
      <c r="CM78" s="66"/>
      <c r="CN78" s="66"/>
      <c r="CO78" s="66"/>
      <c r="CP78" s="6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61"/>
      <c r="DL78" s="41"/>
      <c r="DM78" s="41"/>
      <c r="DN78" s="41"/>
      <c r="DO78" s="41"/>
      <c r="DP78" s="41"/>
      <c r="DQ78" s="41"/>
      <c r="DR78" s="41"/>
      <c r="DS78" s="41"/>
      <c r="DT78" s="41"/>
      <c r="DU78" s="41"/>
    </row>
    <row r="79" spans="1:125" s="48" customFormat="1" ht="16.5" customHeight="1" x14ac:dyDescent="0.3">
      <c r="A79" s="36"/>
      <c r="B79" s="36"/>
      <c r="C79" s="36"/>
      <c r="D79" s="36"/>
      <c r="E79" s="36"/>
      <c r="F79" s="36"/>
      <c r="G79" s="36"/>
      <c r="H79" s="36"/>
      <c r="I79" s="37"/>
      <c r="J79" s="36"/>
      <c r="K79" s="36"/>
      <c r="L79" s="36"/>
      <c r="M79" s="37"/>
      <c r="N79" s="36"/>
      <c r="O79" s="36"/>
      <c r="P79" s="41"/>
      <c r="Q79" s="41"/>
      <c r="R79" s="41"/>
      <c r="S79" s="41"/>
      <c r="T79" s="41"/>
      <c r="U79" s="36"/>
      <c r="V79" s="36"/>
      <c r="W79" s="36"/>
      <c r="X79" s="42"/>
      <c r="Y79" s="41"/>
      <c r="Z79" s="41"/>
      <c r="AA79" s="41"/>
      <c r="AB79" s="41"/>
      <c r="AC79" s="41"/>
      <c r="AD79" s="36"/>
      <c r="AE79" s="36"/>
      <c r="AF79" s="36"/>
      <c r="AG79" s="44"/>
      <c r="AH79" s="41"/>
      <c r="AI79" s="41"/>
      <c r="AJ79" s="41"/>
      <c r="AK79" s="41"/>
      <c r="AL79" s="41"/>
      <c r="AM79" s="41"/>
      <c r="AN79" s="41"/>
      <c r="AO79" s="41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45"/>
      <c r="BB79" s="36"/>
      <c r="BC79" s="36"/>
      <c r="BD79" s="63"/>
      <c r="BE79" s="41"/>
      <c r="BF79" s="43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62"/>
      <c r="BS79" s="41"/>
      <c r="BT79" s="41"/>
      <c r="BU79" s="36"/>
      <c r="BV79" s="36"/>
      <c r="BW79" s="36"/>
      <c r="BX79" s="36"/>
      <c r="BY79" s="103"/>
      <c r="BZ79" s="183"/>
      <c r="CA79" s="184"/>
      <c r="CB79" s="36"/>
      <c r="CC79" s="36"/>
      <c r="CD79" s="36"/>
      <c r="CE79" s="36"/>
      <c r="CF79" s="36"/>
      <c r="CG79" s="36"/>
      <c r="CH79" s="36"/>
      <c r="CI79" s="36"/>
      <c r="CJ79" s="36"/>
      <c r="CK79" s="41"/>
      <c r="CL79" s="66"/>
      <c r="CM79" s="66"/>
      <c r="CN79" s="66"/>
      <c r="CO79" s="66"/>
      <c r="CP79" s="6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61"/>
      <c r="DL79" s="41"/>
      <c r="DM79" s="41"/>
      <c r="DN79" s="41"/>
      <c r="DO79" s="41"/>
      <c r="DP79" s="41"/>
      <c r="DQ79" s="41"/>
      <c r="DR79" s="41"/>
      <c r="DS79" s="41"/>
      <c r="DT79" s="41"/>
      <c r="DU79" s="41"/>
    </row>
    <row r="80" spans="1:125" s="48" customFormat="1" ht="16.5" customHeight="1" x14ac:dyDescent="0.3">
      <c r="A80" s="36"/>
      <c r="B80" s="36"/>
      <c r="C80" s="36"/>
      <c r="D80" s="36"/>
      <c r="E80" s="36"/>
      <c r="F80" s="36"/>
      <c r="G80" s="36"/>
      <c r="H80" s="36"/>
      <c r="I80" s="37"/>
      <c r="J80" s="36"/>
      <c r="K80" s="36"/>
      <c r="L80" s="36"/>
      <c r="M80" s="37"/>
      <c r="N80" s="36"/>
      <c r="O80" s="36"/>
      <c r="P80" s="41"/>
      <c r="Q80" s="41"/>
      <c r="R80" s="41"/>
      <c r="S80" s="41"/>
      <c r="T80" s="41"/>
      <c r="U80" s="36"/>
      <c r="V80" s="36"/>
      <c r="W80" s="36"/>
      <c r="X80" s="42"/>
      <c r="Y80" s="41"/>
      <c r="Z80" s="41"/>
      <c r="AA80" s="41"/>
      <c r="AB80" s="41"/>
      <c r="AC80" s="41"/>
      <c r="AD80" s="36"/>
      <c r="AE80" s="36"/>
      <c r="AF80" s="36"/>
      <c r="AG80" s="44"/>
      <c r="AH80" s="41"/>
      <c r="AI80" s="41"/>
      <c r="AJ80" s="41"/>
      <c r="AK80" s="41"/>
      <c r="AL80" s="41"/>
      <c r="AM80" s="41"/>
      <c r="AN80" s="41"/>
      <c r="AO80" s="41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45"/>
      <c r="BB80" s="36"/>
      <c r="BC80" s="36"/>
      <c r="BD80" s="63"/>
      <c r="BE80" s="41"/>
      <c r="BF80" s="43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62"/>
      <c r="BS80" s="41"/>
      <c r="BT80" s="41"/>
      <c r="BU80" s="36"/>
      <c r="BV80" s="36"/>
      <c r="BW80" s="36"/>
      <c r="BX80" s="36"/>
      <c r="BY80" s="103"/>
      <c r="BZ80" s="183"/>
      <c r="CA80" s="184"/>
      <c r="CB80" s="36"/>
      <c r="CC80" s="36"/>
      <c r="CD80" s="36"/>
      <c r="CE80" s="36"/>
      <c r="CF80" s="36"/>
      <c r="CG80" s="36"/>
      <c r="CH80" s="36"/>
      <c r="CI80" s="36"/>
      <c r="CJ80" s="36"/>
      <c r="CK80" s="41"/>
      <c r="CL80" s="66"/>
      <c r="CM80" s="66"/>
      <c r="CN80" s="66"/>
      <c r="CO80" s="66"/>
      <c r="CP80" s="6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61"/>
      <c r="DL80" s="41"/>
      <c r="DM80" s="41"/>
      <c r="DN80" s="41"/>
      <c r="DO80" s="41"/>
      <c r="DP80" s="41"/>
      <c r="DQ80" s="41"/>
      <c r="DR80" s="41"/>
      <c r="DS80" s="41"/>
      <c r="DT80" s="41"/>
      <c r="DU80" s="41"/>
    </row>
    <row r="81" spans="1:125" s="48" customFormat="1" ht="16.5" customHeight="1" x14ac:dyDescent="0.3">
      <c r="A81" s="36"/>
      <c r="B81" s="36"/>
      <c r="C81" s="36"/>
      <c r="D81" s="36"/>
      <c r="E81" s="36"/>
      <c r="F81" s="36"/>
      <c r="G81" s="36"/>
      <c r="H81" s="36"/>
      <c r="I81" s="37"/>
      <c r="J81" s="36"/>
      <c r="K81" s="36"/>
      <c r="L81" s="36"/>
      <c r="M81" s="37"/>
      <c r="N81" s="36"/>
      <c r="O81" s="36"/>
      <c r="P81" s="41"/>
      <c r="Q81" s="41"/>
      <c r="R81" s="41"/>
      <c r="S81" s="41"/>
      <c r="T81" s="41"/>
      <c r="U81" s="36"/>
      <c r="V81" s="36"/>
      <c r="W81" s="36"/>
      <c r="X81" s="42"/>
      <c r="Y81" s="41"/>
      <c r="Z81" s="41"/>
      <c r="AA81" s="41"/>
      <c r="AB81" s="41"/>
      <c r="AC81" s="41"/>
      <c r="AD81" s="36"/>
      <c r="AE81" s="36"/>
      <c r="AF81" s="36"/>
      <c r="AG81" s="44"/>
      <c r="AH81" s="41"/>
      <c r="AI81" s="41"/>
      <c r="AJ81" s="41"/>
      <c r="AK81" s="41"/>
      <c r="AL81" s="41"/>
      <c r="AM81" s="41"/>
      <c r="AN81" s="41"/>
      <c r="AO81" s="41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45"/>
      <c r="BB81" s="36"/>
      <c r="BC81" s="36"/>
      <c r="BD81" s="63"/>
      <c r="BE81" s="41"/>
      <c r="BF81" s="43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62"/>
      <c r="BS81" s="41"/>
      <c r="BT81" s="41"/>
      <c r="BU81" s="36"/>
      <c r="BV81" s="36"/>
      <c r="BW81" s="36"/>
      <c r="BX81" s="36"/>
      <c r="BY81" s="103"/>
      <c r="BZ81" s="183"/>
      <c r="CA81" s="184"/>
      <c r="CB81" s="36"/>
      <c r="CC81" s="36"/>
      <c r="CD81" s="36"/>
      <c r="CE81" s="36"/>
      <c r="CF81" s="36"/>
      <c r="CG81" s="36"/>
      <c r="CH81" s="36"/>
      <c r="CI81" s="36"/>
      <c r="CJ81" s="36"/>
      <c r="CK81" s="41"/>
      <c r="CL81" s="66"/>
      <c r="CM81" s="66"/>
      <c r="CN81" s="66"/>
      <c r="CO81" s="66"/>
      <c r="CP81" s="6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61"/>
      <c r="DL81" s="41"/>
      <c r="DM81" s="41"/>
      <c r="DN81" s="41"/>
      <c r="DO81" s="41"/>
      <c r="DP81" s="41"/>
      <c r="DQ81" s="41"/>
      <c r="DR81" s="41"/>
      <c r="DS81" s="41"/>
      <c r="DT81" s="41"/>
      <c r="DU81" s="41"/>
    </row>
    <row r="82" spans="1:125" s="48" customFormat="1" ht="16.5" customHeight="1" x14ac:dyDescent="0.3">
      <c r="A82" s="36"/>
      <c r="B82" s="36"/>
      <c r="C82" s="36"/>
      <c r="D82" s="36"/>
      <c r="E82" s="36"/>
      <c r="F82" s="36"/>
      <c r="G82" s="36"/>
      <c r="H82" s="36"/>
      <c r="I82" s="37"/>
      <c r="J82" s="36"/>
      <c r="K82" s="36"/>
      <c r="L82" s="36"/>
      <c r="M82" s="37"/>
      <c r="N82" s="36"/>
      <c r="O82" s="36"/>
      <c r="P82" s="41"/>
      <c r="Q82" s="41"/>
      <c r="R82" s="41"/>
      <c r="S82" s="41"/>
      <c r="T82" s="41"/>
      <c r="U82" s="36"/>
      <c r="V82" s="36"/>
      <c r="W82" s="36"/>
      <c r="X82" s="42"/>
      <c r="Y82" s="41"/>
      <c r="Z82" s="41"/>
      <c r="AA82" s="41"/>
      <c r="AB82" s="41"/>
      <c r="AC82" s="41"/>
      <c r="AD82" s="36"/>
      <c r="AE82" s="36"/>
      <c r="AF82" s="36"/>
      <c r="AG82" s="44"/>
      <c r="AH82" s="41"/>
      <c r="AI82" s="41"/>
      <c r="AJ82" s="41"/>
      <c r="AK82" s="41"/>
      <c r="AL82" s="41"/>
      <c r="AM82" s="41"/>
      <c r="AN82" s="41"/>
      <c r="AO82" s="41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45"/>
      <c r="BB82" s="36"/>
      <c r="BC82" s="36"/>
      <c r="BD82" s="63"/>
      <c r="BE82" s="41"/>
      <c r="BF82" s="43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62"/>
      <c r="BS82" s="41"/>
      <c r="BT82" s="41"/>
      <c r="BU82" s="36"/>
      <c r="BV82" s="36"/>
      <c r="BW82" s="36"/>
      <c r="BX82" s="36"/>
      <c r="BY82" s="103"/>
      <c r="BZ82" s="183"/>
      <c r="CA82" s="184"/>
      <c r="CB82" s="36"/>
      <c r="CC82" s="36"/>
      <c r="CD82" s="36"/>
      <c r="CE82" s="36"/>
      <c r="CF82" s="36"/>
      <c r="CG82" s="36"/>
      <c r="CH82" s="36"/>
      <c r="CI82" s="36"/>
      <c r="CJ82" s="36"/>
      <c r="CK82" s="41"/>
      <c r="CL82" s="66"/>
      <c r="CM82" s="66"/>
      <c r="CN82" s="66"/>
      <c r="CO82" s="66"/>
      <c r="CP82" s="6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61"/>
      <c r="DL82" s="41"/>
      <c r="DM82" s="41"/>
      <c r="DN82" s="41"/>
      <c r="DO82" s="41"/>
      <c r="DP82" s="41"/>
      <c r="DQ82" s="41"/>
      <c r="DR82" s="41"/>
      <c r="DS82" s="41"/>
      <c r="DT82" s="41"/>
      <c r="DU82" s="41"/>
    </row>
    <row r="83" spans="1:125" s="48" customFormat="1" ht="16.5" customHeight="1" x14ac:dyDescent="0.3">
      <c r="A83" s="36"/>
      <c r="B83" s="36"/>
      <c r="C83" s="36"/>
      <c r="D83" s="36"/>
      <c r="E83" s="36"/>
      <c r="F83" s="36"/>
      <c r="G83" s="36"/>
      <c r="H83" s="36"/>
      <c r="I83" s="37"/>
      <c r="J83" s="36"/>
      <c r="K83" s="36"/>
      <c r="L83" s="36"/>
      <c r="M83" s="37"/>
      <c r="N83" s="36"/>
      <c r="O83" s="36"/>
      <c r="P83" s="41"/>
      <c r="Q83" s="41"/>
      <c r="R83" s="41"/>
      <c r="S83" s="41"/>
      <c r="T83" s="41"/>
      <c r="U83" s="36"/>
      <c r="V83" s="36"/>
      <c r="W83" s="36"/>
      <c r="X83" s="42"/>
      <c r="Y83" s="41"/>
      <c r="Z83" s="41"/>
      <c r="AA83" s="41"/>
      <c r="AB83" s="41"/>
      <c r="AC83" s="41"/>
      <c r="AD83" s="36"/>
      <c r="AE83" s="36"/>
      <c r="AF83" s="36"/>
      <c r="AG83" s="44"/>
      <c r="AH83" s="41"/>
      <c r="AI83" s="41"/>
      <c r="AJ83" s="41"/>
      <c r="AK83" s="41"/>
      <c r="AL83" s="41"/>
      <c r="AM83" s="41"/>
      <c r="AN83" s="41"/>
      <c r="AO83" s="41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45"/>
      <c r="BB83" s="36"/>
      <c r="BC83" s="36"/>
      <c r="BD83" s="63"/>
      <c r="BE83" s="41"/>
      <c r="BF83" s="43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62"/>
      <c r="BS83" s="41"/>
      <c r="BT83" s="41"/>
      <c r="BU83" s="36"/>
      <c r="BV83" s="36"/>
      <c r="BW83" s="36"/>
      <c r="BX83" s="36"/>
      <c r="BY83" s="103"/>
      <c r="BZ83" s="183"/>
      <c r="CA83" s="184"/>
      <c r="CB83" s="36"/>
      <c r="CC83" s="36"/>
      <c r="CD83" s="36"/>
      <c r="CE83" s="36"/>
      <c r="CF83" s="36"/>
      <c r="CG83" s="36"/>
      <c r="CH83" s="36"/>
      <c r="CI83" s="36"/>
      <c r="CJ83" s="36"/>
      <c r="CK83" s="41"/>
      <c r="CL83" s="66"/>
      <c r="CM83" s="66"/>
      <c r="CN83" s="66"/>
      <c r="CO83" s="66"/>
      <c r="CP83" s="6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61"/>
      <c r="DL83" s="41"/>
      <c r="DM83" s="41"/>
      <c r="DN83" s="41"/>
      <c r="DO83" s="41"/>
      <c r="DP83" s="41"/>
      <c r="DQ83" s="41"/>
      <c r="DR83" s="41"/>
      <c r="DS83" s="41"/>
      <c r="DT83" s="41"/>
      <c r="DU83" s="41"/>
    </row>
    <row r="84" spans="1:125" s="48" customFormat="1" ht="16.5" customHeight="1" x14ac:dyDescent="0.3">
      <c r="A84" s="36"/>
      <c r="B84" s="36"/>
      <c r="C84" s="36"/>
      <c r="D84" s="36"/>
      <c r="E84" s="36"/>
      <c r="F84" s="36"/>
      <c r="G84" s="36"/>
      <c r="H84" s="36"/>
      <c r="I84" s="37"/>
      <c r="J84" s="36"/>
      <c r="K84" s="36"/>
      <c r="L84" s="36"/>
      <c r="M84" s="37"/>
      <c r="N84" s="36"/>
      <c r="O84" s="36"/>
      <c r="P84" s="41"/>
      <c r="Q84" s="41"/>
      <c r="R84" s="41"/>
      <c r="S84" s="41"/>
      <c r="T84" s="41"/>
      <c r="U84" s="36"/>
      <c r="V84" s="36"/>
      <c r="W84" s="36"/>
      <c r="X84" s="42"/>
      <c r="Y84" s="41"/>
      <c r="Z84" s="41"/>
      <c r="AA84" s="41"/>
      <c r="AB84" s="41"/>
      <c r="AC84" s="41"/>
      <c r="AD84" s="36"/>
      <c r="AE84" s="36"/>
      <c r="AF84" s="36"/>
      <c r="AG84" s="44"/>
      <c r="AH84" s="41"/>
      <c r="AI84" s="41"/>
      <c r="AJ84" s="41"/>
      <c r="AK84" s="41"/>
      <c r="AL84" s="41"/>
      <c r="AM84" s="41"/>
      <c r="AN84" s="41"/>
      <c r="AO84" s="41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45"/>
      <c r="BB84" s="36"/>
      <c r="BC84" s="36"/>
      <c r="BD84" s="63"/>
      <c r="BE84" s="41"/>
      <c r="BF84" s="43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62"/>
      <c r="BS84" s="41"/>
      <c r="BT84" s="41"/>
      <c r="BU84" s="36"/>
      <c r="BV84" s="36"/>
      <c r="BW84" s="36"/>
      <c r="BX84" s="36"/>
      <c r="BY84" s="103"/>
      <c r="BZ84" s="183"/>
      <c r="CA84" s="184"/>
      <c r="CB84" s="36"/>
      <c r="CC84" s="36"/>
      <c r="CD84" s="36"/>
      <c r="CE84" s="36"/>
      <c r="CF84" s="36"/>
      <c r="CG84" s="36"/>
      <c r="CH84" s="36"/>
      <c r="CI84" s="36"/>
      <c r="CJ84" s="36"/>
      <c r="CK84" s="41"/>
      <c r="CL84" s="66"/>
      <c r="CM84" s="66"/>
      <c r="CN84" s="66"/>
      <c r="CO84" s="66"/>
      <c r="CP84" s="6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61"/>
      <c r="DL84" s="41"/>
      <c r="DM84" s="41"/>
      <c r="DN84" s="41"/>
      <c r="DO84" s="41"/>
      <c r="DP84" s="41"/>
      <c r="DQ84" s="41"/>
      <c r="DR84" s="41"/>
      <c r="DS84" s="41"/>
      <c r="DT84" s="41"/>
      <c r="DU84" s="41"/>
    </row>
    <row r="85" spans="1:125" s="48" customFormat="1" ht="16.5" customHeight="1" x14ac:dyDescent="0.3">
      <c r="A85" s="36"/>
      <c r="B85" s="36"/>
      <c r="C85" s="36"/>
      <c r="D85" s="36"/>
      <c r="E85" s="36"/>
      <c r="F85" s="36"/>
      <c r="G85" s="36"/>
      <c r="H85" s="36"/>
      <c r="I85" s="37"/>
      <c r="J85" s="36"/>
      <c r="K85" s="36"/>
      <c r="L85" s="36"/>
      <c r="M85" s="37"/>
      <c r="N85" s="36"/>
      <c r="O85" s="36"/>
      <c r="P85" s="41"/>
      <c r="Q85" s="41"/>
      <c r="R85" s="41"/>
      <c r="S85" s="41"/>
      <c r="T85" s="41"/>
      <c r="U85" s="36"/>
      <c r="V85" s="36"/>
      <c r="W85" s="36"/>
      <c r="X85" s="42"/>
      <c r="Y85" s="41"/>
      <c r="Z85" s="41"/>
      <c r="AA85" s="41"/>
      <c r="AB85" s="41"/>
      <c r="AC85" s="41"/>
      <c r="AD85" s="36"/>
      <c r="AE85" s="36"/>
      <c r="AF85" s="36"/>
      <c r="AG85" s="44"/>
      <c r="AH85" s="41"/>
      <c r="AI85" s="41"/>
      <c r="AJ85" s="41"/>
      <c r="AK85" s="41"/>
      <c r="AL85" s="41"/>
      <c r="AM85" s="41"/>
      <c r="AN85" s="41"/>
      <c r="AO85" s="41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45"/>
      <c r="BB85" s="36"/>
      <c r="BC85" s="36"/>
      <c r="BD85" s="63"/>
      <c r="BE85" s="41"/>
      <c r="BF85" s="43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62"/>
      <c r="BS85" s="41"/>
      <c r="BT85" s="41"/>
      <c r="BU85" s="36"/>
      <c r="BV85" s="36"/>
      <c r="BW85" s="36"/>
      <c r="BX85" s="36"/>
      <c r="BY85" s="103"/>
      <c r="BZ85" s="183"/>
      <c r="CA85" s="184"/>
      <c r="CB85" s="36"/>
      <c r="CC85" s="36"/>
      <c r="CD85" s="36"/>
      <c r="CE85" s="36"/>
      <c r="CF85" s="36"/>
      <c r="CG85" s="36"/>
      <c r="CH85" s="36"/>
      <c r="CI85" s="36"/>
      <c r="CJ85" s="36"/>
      <c r="CK85" s="41"/>
      <c r="CL85" s="66"/>
      <c r="CM85" s="66"/>
      <c r="CN85" s="66"/>
      <c r="CO85" s="66"/>
      <c r="CP85" s="6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61"/>
      <c r="DL85" s="41"/>
      <c r="DM85" s="41"/>
      <c r="DN85" s="41"/>
      <c r="DO85" s="41"/>
      <c r="DP85" s="41"/>
      <c r="DQ85" s="41"/>
      <c r="DR85" s="41"/>
      <c r="DS85" s="41"/>
      <c r="DT85" s="41"/>
      <c r="DU85" s="41"/>
    </row>
    <row r="86" spans="1:125" s="48" customFormat="1" ht="16.5" customHeight="1" x14ac:dyDescent="0.3">
      <c r="A86" s="36"/>
      <c r="B86" s="36"/>
      <c r="C86" s="36"/>
      <c r="D86" s="36"/>
      <c r="E86" s="36"/>
      <c r="F86" s="36"/>
      <c r="G86" s="36"/>
      <c r="H86" s="36"/>
      <c r="I86" s="37"/>
      <c r="J86" s="36"/>
      <c r="K86" s="36"/>
      <c r="L86" s="36"/>
      <c r="M86" s="37"/>
      <c r="N86" s="36"/>
      <c r="O86" s="36"/>
      <c r="P86" s="41"/>
      <c r="Q86" s="41"/>
      <c r="R86" s="41"/>
      <c r="S86" s="41"/>
      <c r="T86" s="41"/>
      <c r="U86" s="36"/>
      <c r="V86" s="36"/>
      <c r="W86" s="36"/>
      <c r="X86" s="42"/>
      <c r="Y86" s="41"/>
      <c r="Z86" s="41"/>
      <c r="AA86" s="41"/>
      <c r="AB86" s="41"/>
      <c r="AC86" s="41"/>
      <c r="AD86" s="36"/>
      <c r="AE86" s="36"/>
      <c r="AF86" s="36"/>
      <c r="AG86" s="44"/>
      <c r="AH86" s="41"/>
      <c r="AI86" s="41"/>
      <c r="AJ86" s="41"/>
      <c r="AK86" s="41"/>
      <c r="AL86" s="41"/>
      <c r="AM86" s="41"/>
      <c r="AN86" s="41"/>
      <c r="AO86" s="41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45"/>
      <c r="BB86" s="36"/>
      <c r="BC86" s="36"/>
      <c r="BD86" s="63"/>
      <c r="BE86" s="41"/>
      <c r="BF86" s="43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62"/>
      <c r="BS86" s="41"/>
      <c r="BT86" s="41"/>
      <c r="BU86" s="36"/>
      <c r="BV86" s="36"/>
      <c r="BW86" s="36"/>
      <c r="BX86" s="36"/>
      <c r="BY86" s="103"/>
      <c r="BZ86" s="183"/>
      <c r="CA86" s="184"/>
      <c r="CB86" s="36"/>
      <c r="CC86" s="36"/>
      <c r="CD86" s="36"/>
      <c r="CE86" s="36"/>
      <c r="CF86" s="36"/>
      <c r="CG86" s="36"/>
      <c r="CH86" s="36"/>
      <c r="CI86" s="36"/>
      <c r="CJ86" s="36"/>
      <c r="CK86" s="41"/>
      <c r="CL86" s="66"/>
      <c r="CM86" s="66"/>
      <c r="CN86" s="66"/>
      <c r="CO86" s="66"/>
      <c r="CP86" s="6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61"/>
      <c r="DL86" s="41"/>
      <c r="DM86" s="41"/>
      <c r="DN86" s="41"/>
      <c r="DO86" s="41"/>
      <c r="DP86" s="41"/>
      <c r="DQ86" s="41"/>
      <c r="DR86" s="41"/>
      <c r="DS86" s="41"/>
      <c r="DT86" s="41"/>
      <c r="DU86" s="41"/>
    </row>
    <row r="87" spans="1:125" s="48" customFormat="1" ht="16.5" customHeight="1" x14ac:dyDescent="0.3">
      <c r="A87" s="36"/>
      <c r="B87" s="36"/>
      <c r="C87" s="36"/>
      <c r="D87" s="36"/>
      <c r="E87" s="36"/>
      <c r="F87" s="36"/>
      <c r="G87" s="36"/>
      <c r="H87" s="36"/>
      <c r="I87" s="37"/>
      <c r="J87" s="36"/>
      <c r="K87" s="36"/>
      <c r="L87" s="36"/>
      <c r="M87" s="37"/>
      <c r="N87" s="36"/>
      <c r="O87" s="36"/>
      <c r="P87" s="41"/>
      <c r="Q87" s="41"/>
      <c r="R87" s="41"/>
      <c r="S87" s="41"/>
      <c r="T87" s="41"/>
      <c r="U87" s="36"/>
      <c r="V87" s="36"/>
      <c r="W87" s="36"/>
      <c r="X87" s="42"/>
      <c r="Y87" s="41"/>
      <c r="Z87" s="41"/>
      <c r="AA87" s="41"/>
      <c r="AB87" s="41"/>
      <c r="AC87" s="41"/>
      <c r="AD87" s="36"/>
      <c r="AE87" s="36"/>
      <c r="AF87" s="36"/>
      <c r="AG87" s="44"/>
      <c r="AH87" s="41"/>
      <c r="AI87" s="41"/>
      <c r="AJ87" s="41"/>
      <c r="AK87" s="41"/>
      <c r="AL87" s="41"/>
      <c r="AM87" s="41"/>
      <c r="AN87" s="41"/>
      <c r="AO87" s="41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45"/>
      <c r="BB87" s="36"/>
      <c r="BC87" s="36"/>
      <c r="BD87" s="63"/>
      <c r="BE87" s="41"/>
      <c r="BF87" s="43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62"/>
      <c r="BS87" s="41"/>
      <c r="BT87" s="41"/>
      <c r="BU87" s="36"/>
      <c r="BV87" s="36"/>
      <c r="BW87" s="36"/>
      <c r="BX87" s="36"/>
      <c r="BY87" s="103"/>
      <c r="BZ87" s="183"/>
      <c r="CA87" s="184"/>
      <c r="CB87" s="36"/>
      <c r="CC87" s="36"/>
      <c r="CD87" s="36"/>
      <c r="CE87" s="36"/>
      <c r="CF87" s="36"/>
      <c r="CG87" s="36"/>
      <c r="CH87" s="36"/>
      <c r="CI87" s="36"/>
      <c r="CJ87" s="36"/>
      <c r="CK87" s="41"/>
      <c r="CL87" s="66"/>
      <c r="CM87" s="66"/>
      <c r="CN87" s="66"/>
      <c r="CO87" s="66"/>
      <c r="CP87" s="6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61"/>
      <c r="DL87" s="41"/>
      <c r="DM87" s="41"/>
      <c r="DN87" s="41"/>
      <c r="DO87" s="41"/>
      <c r="DP87" s="41"/>
      <c r="DQ87" s="41"/>
      <c r="DR87" s="41"/>
      <c r="DS87" s="41"/>
      <c r="DT87" s="41"/>
      <c r="DU87" s="41"/>
    </row>
    <row r="88" spans="1:125" s="48" customFormat="1" ht="16.5" customHeight="1" x14ac:dyDescent="0.3">
      <c r="A88" s="36"/>
      <c r="B88" s="36"/>
      <c r="C88" s="36"/>
      <c r="D88" s="36"/>
      <c r="E88" s="36"/>
      <c r="F88" s="36"/>
      <c r="G88" s="36"/>
      <c r="H88" s="36"/>
      <c r="I88" s="37"/>
      <c r="J88" s="36"/>
      <c r="K88" s="36"/>
      <c r="L88" s="36"/>
      <c r="M88" s="37"/>
      <c r="N88" s="36"/>
      <c r="O88" s="36"/>
      <c r="P88" s="41"/>
      <c r="Q88" s="41"/>
      <c r="R88" s="41"/>
      <c r="S88" s="41"/>
      <c r="T88" s="41"/>
      <c r="U88" s="36"/>
      <c r="V88" s="36"/>
      <c r="W88" s="36"/>
      <c r="X88" s="42"/>
      <c r="Y88" s="41"/>
      <c r="Z88" s="41"/>
      <c r="AA88" s="41"/>
      <c r="AB88" s="41"/>
      <c r="AC88" s="41"/>
      <c r="AD88" s="36"/>
      <c r="AE88" s="36"/>
      <c r="AF88" s="36"/>
      <c r="AG88" s="44"/>
      <c r="AH88" s="41"/>
      <c r="AI88" s="41"/>
      <c r="AJ88" s="41"/>
      <c r="AK88" s="41"/>
      <c r="AL88" s="41"/>
      <c r="AM88" s="41"/>
      <c r="AN88" s="41"/>
      <c r="AO88" s="41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45"/>
      <c r="BB88" s="36"/>
      <c r="BC88" s="36"/>
      <c r="BD88" s="63"/>
      <c r="BE88" s="41"/>
      <c r="BF88" s="43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62"/>
      <c r="BS88" s="41"/>
      <c r="BT88" s="41"/>
      <c r="BU88" s="36"/>
      <c r="BV88" s="36"/>
      <c r="BW88" s="36"/>
      <c r="BX88" s="36"/>
      <c r="BY88" s="103"/>
      <c r="BZ88" s="183"/>
      <c r="CA88" s="184"/>
      <c r="CB88" s="36"/>
      <c r="CC88" s="36"/>
      <c r="CD88" s="36"/>
      <c r="CE88" s="36"/>
      <c r="CF88" s="36"/>
      <c r="CG88" s="36"/>
      <c r="CH88" s="36"/>
      <c r="CI88" s="36"/>
      <c r="CJ88" s="36"/>
      <c r="CK88" s="41"/>
      <c r="CL88" s="66"/>
      <c r="CM88" s="66"/>
      <c r="CN88" s="66"/>
      <c r="CO88" s="66"/>
      <c r="CP88" s="6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61"/>
      <c r="DL88" s="41"/>
      <c r="DM88" s="41"/>
      <c r="DN88" s="41"/>
      <c r="DO88" s="41"/>
      <c r="DP88" s="41"/>
      <c r="DQ88" s="41"/>
      <c r="DR88" s="41"/>
      <c r="DS88" s="41"/>
      <c r="DT88" s="41"/>
      <c r="DU88" s="41"/>
    </row>
    <row r="89" spans="1:125" s="48" customFormat="1" ht="16.5" customHeight="1" x14ac:dyDescent="0.3">
      <c r="A89" s="36"/>
      <c r="B89" s="36"/>
      <c r="C89" s="36"/>
      <c r="D89" s="36"/>
      <c r="E89" s="36"/>
      <c r="F89" s="36"/>
      <c r="G89" s="36"/>
      <c r="H89" s="36"/>
      <c r="I89" s="37"/>
      <c r="J89" s="36"/>
      <c r="K89" s="36"/>
      <c r="L89" s="36"/>
      <c r="M89" s="37"/>
      <c r="N89" s="36"/>
      <c r="O89" s="36"/>
      <c r="P89" s="41"/>
      <c r="Q89" s="41"/>
      <c r="R89" s="41"/>
      <c r="S89" s="41"/>
      <c r="T89" s="41"/>
      <c r="U89" s="36"/>
      <c r="V89" s="36"/>
      <c r="W89" s="36"/>
      <c r="X89" s="42"/>
      <c r="Y89" s="41"/>
      <c r="Z89" s="41"/>
      <c r="AA89" s="41"/>
      <c r="AB89" s="41"/>
      <c r="AC89" s="41"/>
      <c r="AD89" s="36"/>
      <c r="AE89" s="36"/>
      <c r="AF89" s="36"/>
      <c r="AG89" s="44"/>
      <c r="AH89" s="41"/>
      <c r="AI89" s="41"/>
      <c r="AJ89" s="41"/>
      <c r="AK89" s="41"/>
      <c r="AL89" s="41"/>
      <c r="AM89" s="41"/>
      <c r="AN89" s="41"/>
      <c r="AO89" s="41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45"/>
      <c r="BB89" s="36"/>
      <c r="BC89" s="36"/>
      <c r="BD89" s="63"/>
      <c r="BE89" s="41"/>
      <c r="BF89" s="43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62"/>
      <c r="BS89" s="41"/>
      <c r="BT89" s="41"/>
      <c r="BU89" s="36"/>
      <c r="BV89" s="36"/>
      <c r="BW89" s="36"/>
      <c r="BX89" s="36"/>
      <c r="BY89" s="103"/>
      <c r="BZ89" s="241"/>
      <c r="CA89" s="242"/>
      <c r="CB89" s="36"/>
      <c r="CC89" s="36"/>
      <c r="CD89" s="36"/>
      <c r="CE89" s="36"/>
      <c r="CF89" s="36"/>
      <c r="CG89" s="36"/>
      <c r="CH89" s="36"/>
      <c r="CI89" s="36"/>
      <c r="CJ89" s="36"/>
      <c r="CK89" s="41"/>
      <c r="CL89" s="66"/>
      <c r="CM89" s="66"/>
      <c r="CN89" s="66"/>
      <c r="CO89" s="66"/>
      <c r="CP89" s="6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61"/>
      <c r="DL89" s="41"/>
      <c r="DM89" s="41"/>
      <c r="DN89" s="41"/>
      <c r="DO89" s="41"/>
      <c r="DP89" s="41"/>
      <c r="DQ89" s="41"/>
      <c r="DR89" s="41"/>
      <c r="DS89" s="41"/>
      <c r="DT89" s="41"/>
      <c r="DU89" s="41"/>
    </row>
    <row r="90" spans="1:125" s="48" customFormat="1" ht="16.5" customHeight="1" x14ac:dyDescent="0.3">
      <c r="A90" s="36"/>
      <c r="B90" s="36"/>
      <c r="C90" s="36"/>
      <c r="D90" s="36"/>
      <c r="E90" s="36"/>
      <c r="F90" s="36"/>
      <c r="G90" s="36"/>
      <c r="H90" s="36"/>
      <c r="I90" s="37"/>
      <c r="J90" s="36"/>
      <c r="K90" s="36"/>
      <c r="L90" s="36"/>
      <c r="M90" s="37"/>
      <c r="N90" s="36"/>
      <c r="O90" s="36"/>
      <c r="P90" s="41"/>
      <c r="Q90" s="41"/>
      <c r="R90" s="41"/>
      <c r="S90" s="41"/>
      <c r="T90" s="41"/>
      <c r="U90" s="36"/>
      <c r="V90" s="36"/>
      <c r="W90" s="36"/>
      <c r="X90" s="42"/>
      <c r="Y90" s="41"/>
      <c r="Z90" s="41"/>
      <c r="AA90" s="41"/>
      <c r="AB90" s="41"/>
      <c r="AC90" s="41"/>
      <c r="AD90" s="36"/>
      <c r="AE90" s="36"/>
      <c r="AF90" s="36"/>
      <c r="AG90" s="44"/>
      <c r="AH90" s="41"/>
      <c r="AI90" s="41"/>
      <c r="AJ90" s="41"/>
      <c r="AK90" s="41"/>
      <c r="AL90" s="41"/>
      <c r="AM90" s="41"/>
      <c r="AN90" s="41"/>
      <c r="AO90" s="41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45"/>
      <c r="BB90" s="36"/>
      <c r="BC90" s="36"/>
      <c r="BD90" s="63"/>
      <c r="BE90" s="41"/>
      <c r="BF90" s="43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62"/>
      <c r="BS90" s="41"/>
      <c r="BT90" s="41"/>
      <c r="BU90" s="36"/>
      <c r="BV90" s="36"/>
      <c r="BW90" s="36"/>
      <c r="BX90" s="36"/>
      <c r="BY90" s="103"/>
      <c r="BZ90" s="241"/>
      <c r="CA90" s="242"/>
      <c r="CB90" s="36"/>
      <c r="CC90" s="36"/>
      <c r="CD90" s="36"/>
      <c r="CE90" s="36"/>
      <c r="CF90" s="36"/>
      <c r="CG90" s="36"/>
      <c r="CH90" s="36"/>
      <c r="CI90" s="36"/>
      <c r="CJ90" s="36"/>
      <c r="CK90" s="41"/>
      <c r="CL90" s="66"/>
      <c r="CM90" s="66"/>
      <c r="CN90" s="66"/>
      <c r="CO90" s="66"/>
      <c r="CP90" s="6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61"/>
      <c r="DL90" s="41"/>
      <c r="DM90" s="41"/>
      <c r="DN90" s="41"/>
      <c r="DO90" s="41"/>
      <c r="DP90" s="41"/>
      <c r="DQ90" s="41"/>
      <c r="DR90" s="41"/>
      <c r="DS90" s="41"/>
      <c r="DT90" s="41"/>
      <c r="DU90" s="41"/>
    </row>
    <row r="91" spans="1:125" s="48" customFormat="1" ht="16.5" customHeight="1" x14ac:dyDescent="0.3">
      <c r="A91" s="36"/>
      <c r="B91" s="36"/>
      <c r="C91" s="36"/>
      <c r="D91" s="36"/>
      <c r="E91" s="36"/>
      <c r="F91" s="36"/>
      <c r="G91" s="36"/>
      <c r="H91" s="36"/>
      <c r="I91" s="37"/>
      <c r="J91" s="36"/>
      <c r="K91" s="36"/>
      <c r="L91" s="36"/>
      <c r="M91" s="37"/>
      <c r="N91" s="36"/>
      <c r="O91" s="36"/>
      <c r="P91" s="41"/>
      <c r="Q91" s="41"/>
      <c r="R91" s="41"/>
      <c r="S91" s="41"/>
      <c r="T91" s="41"/>
      <c r="U91" s="36"/>
      <c r="V91" s="36"/>
      <c r="W91" s="36"/>
      <c r="X91" s="42"/>
      <c r="Y91" s="41"/>
      <c r="Z91" s="41"/>
      <c r="AA91" s="41"/>
      <c r="AB91" s="41"/>
      <c r="AC91" s="41"/>
      <c r="AD91" s="36"/>
      <c r="AE91" s="36"/>
      <c r="AF91" s="36"/>
      <c r="AG91" s="44"/>
      <c r="AH91" s="41"/>
      <c r="AI91" s="41"/>
      <c r="AJ91" s="41"/>
      <c r="AK91" s="41"/>
      <c r="AL91" s="41"/>
      <c r="AM91" s="41"/>
      <c r="AN91" s="41"/>
      <c r="AO91" s="41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45"/>
      <c r="BB91" s="36"/>
      <c r="BC91" s="36"/>
      <c r="BD91" s="63"/>
      <c r="BE91" s="41"/>
      <c r="BF91" s="43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62"/>
      <c r="BS91" s="41"/>
      <c r="BT91" s="41"/>
      <c r="BU91" s="36"/>
      <c r="BV91" s="36"/>
      <c r="BW91" s="36"/>
      <c r="BX91" s="36"/>
      <c r="BY91" s="103"/>
      <c r="BZ91" s="241"/>
      <c r="CA91" s="242"/>
      <c r="CB91" s="36"/>
      <c r="CC91" s="36"/>
      <c r="CD91" s="36"/>
      <c r="CE91" s="36"/>
      <c r="CF91" s="36"/>
      <c r="CG91" s="36"/>
      <c r="CH91" s="36"/>
      <c r="CI91" s="36"/>
      <c r="CJ91" s="36"/>
      <c r="CK91" s="41"/>
      <c r="CL91" s="66"/>
      <c r="CM91" s="66"/>
      <c r="CN91" s="66"/>
      <c r="CO91" s="66"/>
      <c r="CP91" s="6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61"/>
      <c r="DL91" s="41"/>
      <c r="DM91" s="41"/>
      <c r="DN91" s="41"/>
      <c r="DO91" s="41"/>
      <c r="DP91" s="41"/>
      <c r="DQ91" s="41"/>
      <c r="DR91" s="41"/>
      <c r="DS91" s="41"/>
      <c r="DT91" s="41"/>
      <c r="DU91" s="41"/>
    </row>
    <row r="92" spans="1:125" s="48" customFormat="1" ht="16.5" customHeight="1" x14ac:dyDescent="0.3">
      <c r="A92" s="36"/>
      <c r="B92" s="36"/>
      <c r="C92" s="36"/>
      <c r="D92" s="36"/>
      <c r="E92" s="36"/>
      <c r="F92" s="36"/>
      <c r="G92" s="36"/>
      <c r="H92" s="36"/>
      <c r="I92" s="37"/>
      <c r="J92" s="36"/>
      <c r="K92" s="36"/>
      <c r="L92" s="36"/>
      <c r="M92" s="37"/>
      <c r="N92" s="36"/>
      <c r="O92" s="36"/>
      <c r="P92" s="41"/>
      <c r="Q92" s="41"/>
      <c r="R92" s="41"/>
      <c r="S92" s="41"/>
      <c r="T92" s="41"/>
      <c r="U92" s="36"/>
      <c r="V92" s="36"/>
      <c r="W92" s="36"/>
      <c r="X92" s="42"/>
      <c r="Y92" s="41"/>
      <c r="Z92" s="41"/>
      <c r="AA92" s="41"/>
      <c r="AB92" s="41"/>
      <c r="AC92" s="41"/>
      <c r="AD92" s="36"/>
      <c r="AE92" s="36"/>
      <c r="AF92" s="36"/>
      <c r="AG92" s="44"/>
      <c r="AH92" s="41"/>
      <c r="AI92" s="41"/>
      <c r="AJ92" s="41"/>
      <c r="AK92" s="41"/>
      <c r="AL92" s="41"/>
      <c r="AM92" s="41"/>
      <c r="AN92" s="41"/>
      <c r="AO92" s="41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45"/>
      <c r="BB92" s="36"/>
      <c r="BC92" s="36"/>
      <c r="BD92" s="63"/>
      <c r="BE92" s="41"/>
      <c r="BF92" s="43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62"/>
      <c r="BS92" s="41"/>
      <c r="BT92" s="41"/>
      <c r="BU92" s="36"/>
      <c r="BV92" s="36"/>
      <c r="BW92" s="36"/>
      <c r="BX92" s="36"/>
      <c r="BY92" s="103"/>
      <c r="BZ92" s="241"/>
      <c r="CA92" s="242"/>
      <c r="CB92" s="36"/>
      <c r="CC92" s="36"/>
      <c r="CD92" s="36"/>
      <c r="CE92" s="36"/>
      <c r="CF92" s="36"/>
      <c r="CG92" s="36"/>
      <c r="CH92" s="36"/>
      <c r="CI92" s="36"/>
      <c r="CJ92" s="36"/>
      <c r="CK92" s="41"/>
      <c r="CL92" s="66"/>
      <c r="CM92" s="66"/>
      <c r="CN92" s="66"/>
      <c r="CO92" s="66"/>
      <c r="CP92" s="6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61"/>
      <c r="DL92" s="41"/>
      <c r="DM92" s="41"/>
      <c r="DN92" s="41"/>
      <c r="DO92" s="41"/>
      <c r="DP92" s="41"/>
      <c r="DQ92" s="41"/>
      <c r="DR92" s="41"/>
      <c r="DS92" s="41"/>
      <c r="DT92" s="41"/>
      <c r="DU92" s="41"/>
    </row>
    <row r="93" spans="1:125" s="48" customFormat="1" ht="16.5" customHeight="1" x14ac:dyDescent="0.3">
      <c r="A93" s="36"/>
      <c r="B93" s="36"/>
      <c r="C93" s="36"/>
      <c r="D93" s="36"/>
      <c r="E93" s="36"/>
      <c r="F93" s="36"/>
      <c r="G93" s="36"/>
      <c r="H93" s="36"/>
      <c r="I93" s="37"/>
      <c r="J93" s="36"/>
      <c r="K93" s="36"/>
      <c r="L93" s="36"/>
      <c r="M93" s="37"/>
      <c r="N93" s="36"/>
      <c r="O93" s="36"/>
      <c r="P93" s="41"/>
      <c r="Q93" s="41"/>
      <c r="R93" s="41"/>
      <c r="S93" s="41"/>
      <c r="T93" s="41"/>
      <c r="U93" s="36"/>
      <c r="V93" s="36"/>
      <c r="W93" s="36"/>
      <c r="X93" s="42"/>
      <c r="Y93" s="41"/>
      <c r="Z93" s="41"/>
      <c r="AA93" s="41"/>
      <c r="AB93" s="41"/>
      <c r="AC93" s="41"/>
      <c r="AD93" s="36"/>
      <c r="AE93" s="36"/>
      <c r="AF93" s="36"/>
      <c r="AG93" s="44"/>
      <c r="AH93" s="41"/>
      <c r="AI93" s="41"/>
      <c r="AJ93" s="41"/>
      <c r="AK93" s="41"/>
      <c r="AL93" s="41"/>
      <c r="AM93" s="41"/>
      <c r="AN93" s="104"/>
      <c r="AO93" s="41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45"/>
      <c r="BB93" s="36"/>
      <c r="BC93" s="36"/>
      <c r="BD93" s="63"/>
      <c r="BE93" s="41"/>
      <c r="BF93" s="43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62"/>
      <c r="BS93" s="41"/>
      <c r="BT93" s="41"/>
      <c r="BU93" s="36"/>
      <c r="BV93" s="36"/>
      <c r="BW93" s="36"/>
      <c r="BX93" s="36"/>
      <c r="BY93" s="103"/>
      <c r="BZ93" s="241"/>
      <c r="CA93" s="242"/>
      <c r="CB93" s="36"/>
      <c r="CC93" s="36"/>
      <c r="CD93" s="36"/>
      <c r="CE93" s="36"/>
      <c r="CF93" s="36"/>
      <c r="CG93" s="36"/>
      <c r="CH93" s="36"/>
      <c r="CI93" s="36"/>
      <c r="CJ93" s="36"/>
      <c r="CK93" s="41"/>
      <c r="CL93" s="66"/>
      <c r="CM93" s="66"/>
      <c r="CN93" s="66"/>
      <c r="CO93" s="66"/>
      <c r="CP93" s="6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61"/>
      <c r="DL93" s="41"/>
      <c r="DM93" s="41"/>
      <c r="DN93" s="41"/>
      <c r="DO93" s="41"/>
      <c r="DP93" s="41"/>
      <c r="DQ93" s="41"/>
      <c r="DR93" s="41"/>
      <c r="DS93" s="41"/>
      <c r="DT93" s="41"/>
      <c r="DU93" s="41"/>
    </row>
    <row r="94" spans="1:125" s="48" customFormat="1" ht="16.5" customHeight="1" x14ac:dyDescent="0.3">
      <c r="A94" s="36"/>
      <c r="B94" s="36"/>
      <c r="C94" s="36"/>
      <c r="D94" s="36"/>
      <c r="E94" s="36"/>
      <c r="F94" s="36"/>
      <c r="G94" s="36"/>
      <c r="H94" s="36"/>
      <c r="I94" s="37"/>
      <c r="J94" s="36"/>
      <c r="K94" s="36"/>
      <c r="L94" s="36"/>
      <c r="M94" s="37"/>
      <c r="N94" s="36"/>
      <c r="O94" s="36"/>
      <c r="P94" s="41"/>
      <c r="Q94" s="41"/>
      <c r="R94" s="41"/>
      <c r="S94" s="41"/>
      <c r="T94" s="41"/>
      <c r="U94" s="36"/>
      <c r="V94" s="36"/>
      <c r="W94" s="36"/>
      <c r="X94" s="42"/>
      <c r="Y94" s="41"/>
      <c r="Z94" s="41"/>
      <c r="AA94" s="41"/>
      <c r="AB94" s="41"/>
      <c r="AC94" s="41"/>
      <c r="AD94" s="36"/>
      <c r="AE94" s="36"/>
      <c r="AF94" s="36"/>
      <c r="AG94" s="44"/>
      <c r="AH94" s="41"/>
      <c r="AI94" s="41"/>
      <c r="AJ94" s="41"/>
      <c r="AK94" s="41"/>
      <c r="AL94" s="41"/>
      <c r="AM94" s="41"/>
      <c r="AN94" s="104"/>
      <c r="AO94" s="41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45"/>
      <c r="BB94" s="36"/>
      <c r="BC94" s="36"/>
      <c r="BD94" s="63"/>
      <c r="BE94" s="41"/>
      <c r="BF94" s="43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62"/>
      <c r="BS94" s="41"/>
      <c r="BT94" s="41"/>
      <c r="BU94" s="36"/>
      <c r="BV94" s="36"/>
      <c r="BW94" s="36"/>
      <c r="BX94" s="36"/>
      <c r="BY94" s="103"/>
      <c r="BZ94" s="241"/>
      <c r="CA94" s="242"/>
      <c r="CB94" s="36"/>
      <c r="CC94" s="36"/>
      <c r="CD94" s="36"/>
      <c r="CE94" s="36"/>
      <c r="CF94" s="36"/>
      <c r="CG94" s="36"/>
      <c r="CH94" s="36"/>
      <c r="CI94" s="36"/>
      <c r="CJ94" s="36"/>
      <c r="CK94" s="41"/>
      <c r="CL94" s="66"/>
      <c r="CM94" s="66"/>
      <c r="CN94" s="66"/>
      <c r="CO94" s="66"/>
      <c r="CP94" s="6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61"/>
      <c r="DL94" s="41"/>
      <c r="DM94" s="41"/>
      <c r="DN94" s="41"/>
      <c r="DO94" s="41"/>
      <c r="DP94" s="41"/>
      <c r="DQ94" s="41"/>
      <c r="DR94" s="41"/>
      <c r="DS94" s="41"/>
      <c r="DT94" s="41"/>
      <c r="DU94" s="41"/>
    </row>
    <row r="95" spans="1:125" s="48" customFormat="1" ht="16.5" customHeight="1" x14ac:dyDescent="0.3">
      <c r="A95" s="36"/>
      <c r="B95" s="36"/>
      <c r="C95" s="36"/>
      <c r="D95" s="36"/>
      <c r="E95" s="36"/>
      <c r="F95" s="36"/>
      <c r="G95" s="36"/>
      <c r="H95" s="36"/>
      <c r="I95" s="37"/>
      <c r="J95" s="36"/>
      <c r="K95" s="36"/>
      <c r="L95" s="36"/>
      <c r="M95" s="37"/>
      <c r="N95" s="36"/>
      <c r="O95" s="36"/>
      <c r="P95" s="41"/>
      <c r="Q95" s="41"/>
      <c r="R95" s="41"/>
      <c r="S95" s="41"/>
      <c r="T95" s="41"/>
      <c r="U95" s="36"/>
      <c r="V95" s="36"/>
      <c r="W95" s="36"/>
      <c r="X95" s="42"/>
      <c r="Y95" s="41"/>
      <c r="Z95" s="41"/>
      <c r="AA95" s="41"/>
      <c r="AB95" s="41"/>
      <c r="AC95" s="41"/>
      <c r="AD95" s="36"/>
      <c r="AE95" s="36"/>
      <c r="AF95" s="36"/>
      <c r="AG95" s="44"/>
      <c r="AH95" s="41"/>
      <c r="AI95" s="41"/>
      <c r="AJ95" s="41"/>
      <c r="AK95" s="41"/>
      <c r="AL95" s="41"/>
      <c r="AM95" s="41"/>
      <c r="AN95" s="104"/>
      <c r="AO95" s="41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45"/>
      <c r="BB95" s="36"/>
      <c r="BC95" s="36"/>
      <c r="BD95" s="63"/>
      <c r="BE95" s="41"/>
      <c r="BF95" s="43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62"/>
      <c r="BS95" s="41"/>
      <c r="BT95" s="41"/>
      <c r="BU95" s="36"/>
      <c r="BV95" s="36"/>
      <c r="BW95" s="36"/>
      <c r="BX95" s="36"/>
      <c r="BY95" s="103"/>
      <c r="BZ95" s="241"/>
      <c r="CA95" s="242"/>
      <c r="CB95" s="36"/>
      <c r="CC95" s="36"/>
      <c r="CD95" s="36"/>
      <c r="CE95" s="36"/>
      <c r="CF95" s="36"/>
      <c r="CG95" s="36"/>
      <c r="CH95" s="36"/>
      <c r="CI95" s="36"/>
      <c r="CJ95" s="36"/>
      <c r="CK95" s="41"/>
      <c r="CL95" s="66"/>
      <c r="CM95" s="66"/>
      <c r="CN95" s="66"/>
      <c r="CO95" s="66"/>
      <c r="CP95" s="6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61"/>
      <c r="DL95" s="41"/>
      <c r="DM95" s="41"/>
      <c r="DN95" s="41"/>
      <c r="DO95" s="41"/>
      <c r="DP95" s="41"/>
      <c r="DQ95" s="41"/>
      <c r="DR95" s="41"/>
      <c r="DS95" s="41"/>
      <c r="DT95" s="41"/>
      <c r="DU95" s="41"/>
    </row>
    <row r="96" spans="1:125" s="48" customFormat="1" ht="16.5" customHeight="1" x14ac:dyDescent="0.3">
      <c r="A96" s="36"/>
      <c r="B96" s="36"/>
      <c r="C96" s="36"/>
      <c r="D96" s="36"/>
      <c r="E96" s="36"/>
      <c r="F96" s="36"/>
      <c r="G96" s="36"/>
      <c r="H96" s="36"/>
      <c r="I96" s="37"/>
      <c r="J96" s="36"/>
      <c r="K96" s="36"/>
      <c r="L96" s="36"/>
      <c r="M96" s="37"/>
      <c r="N96" s="36"/>
      <c r="O96" s="36"/>
      <c r="P96" s="41"/>
      <c r="Q96" s="41"/>
      <c r="R96" s="41"/>
      <c r="S96" s="41"/>
      <c r="T96" s="41"/>
      <c r="U96" s="36"/>
      <c r="V96" s="36"/>
      <c r="W96" s="36"/>
      <c r="X96" s="42"/>
      <c r="Y96" s="41"/>
      <c r="Z96" s="41"/>
      <c r="AA96" s="41"/>
      <c r="AB96" s="41"/>
      <c r="AC96" s="41"/>
      <c r="AD96" s="36"/>
      <c r="AE96" s="36"/>
      <c r="AF96" s="36"/>
      <c r="AG96" s="44"/>
      <c r="AH96" s="41"/>
      <c r="AI96" s="41"/>
      <c r="AJ96" s="41"/>
      <c r="AK96" s="41"/>
      <c r="AL96" s="41"/>
      <c r="AM96" s="41"/>
      <c r="AN96" s="41"/>
      <c r="AO96" s="41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45"/>
      <c r="BB96" s="36"/>
      <c r="BC96" s="36"/>
      <c r="BD96" s="63"/>
      <c r="BE96" s="41"/>
      <c r="BF96" s="43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62"/>
      <c r="BS96" s="41"/>
      <c r="BT96" s="41"/>
      <c r="BU96" s="36"/>
      <c r="BV96" s="36"/>
      <c r="BW96" s="36"/>
      <c r="BX96" s="36"/>
      <c r="BY96" s="103"/>
      <c r="BZ96" s="241"/>
      <c r="CA96" s="242"/>
      <c r="CB96" s="36"/>
      <c r="CC96" s="36"/>
      <c r="CD96" s="36"/>
      <c r="CE96" s="36"/>
      <c r="CF96" s="36"/>
      <c r="CG96" s="36"/>
      <c r="CH96" s="36"/>
      <c r="CI96" s="36"/>
      <c r="CJ96" s="36"/>
      <c r="CK96" s="41"/>
      <c r="CL96" s="66"/>
      <c r="CM96" s="66"/>
      <c r="CN96" s="66"/>
      <c r="CO96" s="66"/>
      <c r="CP96" s="6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61"/>
      <c r="DL96" s="41"/>
      <c r="DM96" s="41"/>
      <c r="DN96" s="41"/>
      <c r="DO96" s="41"/>
      <c r="DP96" s="41"/>
      <c r="DQ96" s="41"/>
      <c r="DR96" s="41"/>
      <c r="DS96" s="41"/>
      <c r="DT96" s="41"/>
      <c r="DU96" s="41"/>
    </row>
    <row r="97" spans="1:125" s="48" customFormat="1" ht="16.5" customHeight="1" x14ac:dyDescent="0.3">
      <c r="A97" s="36"/>
      <c r="B97" s="36"/>
      <c r="C97" s="36"/>
      <c r="D97" s="36"/>
      <c r="E97" s="36"/>
      <c r="F97" s="36"/>
      <c r="G97" s="36"/>
      <c r="H97" s="36"/>
      <c r="I97" s="37"/>
      <c r="J97" s="36"/>
      <c r="K97" s="36"/>
      <c r="L97" s="36"/>
      <c r="M97" s="37"/>
      <c r="N97" s="36"/>
      <c r="O97" s="36"/>
      <c r="P97" s="41"/>
      <c r="Q97" s="41"/>
      <c r="R97" s="41"/>
      <c r="S97" s="41"/>
      <c r="T97" s="41"/>
      <c r="U97" s="36"/>
      <c r="V97" s="36"/>
      <c r="W97" s="36"/>
      <c r="X97" s="42"/>
      <c r="Y97" s="41"/>
      <c r="Z97" s="41"/>
      <c r="AA97" s="41"/>
      <c r="AB97" s="41"/>
      <c r="AC97" s="41"/>
      <c r="AD97" s="36"/>
      <c r="AE97" s="36"/>
      <c r="AF97" s="36"/>
      <c r="AG97" s="44"/>
      <c r="AH97" s="41"/>
      <c r="AI97" s="41"/>
      <c r="AJ97" s="41"/>
      <c r="AK97" s="41"/>
      <c r="AL97" s="41"/>
      <c r="AM97" s="41"/>
      <c r="AN97" s="41"/>
      <c r="AO97" s="41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45"/>
      <c r="BB97" s="36"/>
      <c r="BC97" s="36"/>
      <c r="BD97" s="63"/>
      <c r="BE97" s="41"/>
      <c r="BF97" s="43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62"/>
      <c r="BS97" s="41"/>
      <c r="BT97" s="41"/>
      <c r="BU97" s="36"/>
      <c r="BV97" s="36"/>
      <c r="BW97" s="36"/>
      <c r="BX97" s="36"/>
      <c r="BY97" s="103"/>
      <c r="BZ97" s="241"/>
      <c r="CA97" s="242"/>
      <c r="CB97" s="36"/>
      <c r="CC97" s="36"/>
      <c r="CD97" s="36"/>
      <c r="CE97" s="36"/>
      <c r="CF97" s="36"/>
      <c r="CG97" s="36"/>
      <c r="CH97" s="36"/>
      <c r="CI97" s="36"/>
      <c r="CJ97" s="36"/>
      <c r="CK97" s="41"/>
      <c r="CL97" s="66"/>
      <c r="CM97" s="66"/>
      <c r="CN97" s="66"/>
      <c r="CO97" s="66"/>
      <c r="CP97" s="6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61"/>
      <c r="DL97" s="41"/>
      <c r="DM97" s="41"/>
      <c r="DN97" s="41"/>
      <c r="DO97" s="41"/>
      <c r="DP97" s="41"/>
      <c r="DQ97" s="41"/>
      <c r="DR97" s="41"/>
      <c r="DS97" s="41"/>
      <c r="DT97" s="41"/>
      <c r="DU97" s="41"/>
    </row>
    <row r="98" spans="1:125" s="48" customFormat="1" ht="16.5" customHeight="1" x14ac:dyDescent="0.3">
      <c r="A98" s="36"/>
      <c r="B98" s="36"/>
      <c r="C98" s="36"/>
      <c r="D98" s="36"/>
      <c r="E98" s="36"/>
      <c r="F98" s="36"/>
      <c r="G98" s="36"/>
      <c r="H98" s="36"/>
      <c r="I98" s="37"/>
      <c r="J98" s="36"/>
      <c r="K98" s="36"/>
      <c r="L98" s="36"/>
      <c r="M98" s="37"/>
      <c r="N98" s="36"/>
      <c r="O98" s="36"/>
      <c r="P98" s="41"/>
      <c r="Q98" s="41"/>
      <c r="R98" s="41"/>
      <c r="S98" s="41"/>
      <c r="T98" s="41"/>
      <c r="U98" s="36"/>
      <c r="V98" s="36"/>
      <c r="W98" s="36"/>
      <c r="X98" s="42"/>
      <c r="Y98" s="41"/>
      <c r="Z98" s="41"/>
      <c r="AA98" s="41"/>
      <c r="AB98" s="41"/>
      <c r="AC98" s="41"/>
      <c r="AD98" s="36"/>
      <c r="AE98" s="36"/>
      <c r="AF98" s="36"/>
      <c r="AG98" s="44"/>
      <c r="AH98" s="41"/>
      <c r="AI98" s="41"/>
      <c r="AJ98" s="41"/>
      <c r="AK98" s="41"/>
      <c r="AL98" s="41"/>
      <c r="AM98" s="41"/>
      <c r="AN98" s="41"/>
      <c r="AO98" s="41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45"/>
      <c r="BB98" s="36"/>
      <c r="BC98" s="36"/>
      <c r="BD98" s="63"/>
      <c r="BE98" s="41"/>
      <c r="BF98" s="43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62"/>
      <c r="BS98" s="41"/>
      <c r="BT98" s="41"/>
      <c r="BU98" s="36"/>
      <c r="BV98" s="36"/>
      <c r="BW98" s="36"/>
      <c r="BX98" s="36"/>
      <c r="BY98" s="103"/>
      <c r="BZ98" s="241"/>
      <c r="CA98" s="242"/>
      <c r="CB98" s="36"/>
      <c r="CC98" s="36"/>
      <c r="CD98" s="36"/>
      <c r="CE98" s="36"/>
      <c r="CF98" s="36"/>
      <c r="CG98" s="36"/>
      <c r="CH98" s="36"/>
      <c r="CI98" s="36"/>
      <c r="CJ98" s="36"/>
      <c r="CK98" s="41"/>
      <c r="CL98" s="66"/>
      <c r="CM98" s="66"/>
      <c r="CN98" s="66"/>
      <c r="CO98" s="66"/>
      <c r="CP98" s="6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61"/>
      <c r="DL98" s="41"/>
      <c r="DM98" s="41"/>
      <c r="DN98" s="41"/>
      <c r="DO98" s="41"/>
      <c r="DP98" s="41"/>
      <c r="DQ98" s="41"/>
      <c r="DR98" s="41"/>
      <c r="DS98" s="41"/>
      <c r="DT98" s="41"/>
      <c r="DU98" s="41"/>
    </row>
    <row r="99" spans="1:125" s="48" customFormat="1" ht="16.5" customHeight="1" x14ac:dyDescent="0.3">
      <c r="A99" s="36"/>
      <c r="B99" s="36"/>
      <c r="C99" s="36"/>
      <c r="D99" s="36"/>
      <c r="E99" s="36"/>
      <c r="F99" s="36"/>
      <c r="G99" s="36"/>
      <c r="H99" s="36"/>
      <c r="I99" s="37"/>
      <c r="J99" s="36"/>
      <c r="K99" s="36"/>
      <c r="L99" s="36"/>
      <c r="M99" s="37"/>
      <c r="N99" s="36"/>
      <c r="O99" s="36"/>
      <c r="P99" s="41"/>
      <c r="Q99" s="41"/>
      <c r="R99" s="41"/>
      <c r="S99" s="41"/>
      <c r="T99" s="41"/>
      <c r="U99" s="36"/>
      <c r="V99" s="36"/>
      <c r="W99" s="36"/>
      <c r="X99" s="42"/>
      <c r="Y99" s="41"/>
      <c r="Z99" s="41"/>
      <c r="AA99" s="41"/>
      <c r="AB99" s="41"/>
      <c r="AC99" s="41"/>
      <c r="AD99" s="36"/>
      <c r="AE99" s="36"/>
      <c r="AF99" s="36"/>
      <c r="AG99" s="44"/>
      <c r="AH99" s="41"/>
      <c r="AI99" s="41"/>
      <c r="AJ99" s="41"/>
      <c r="AK99" s="41"/>
      <c r="AL99" s="41"/>
      <c r="AM99" s="41"/>
      <c r="AN99" s="41"/>
      <c r="AO99" s="41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45"/>
      <c r="BB99" s="36"/>
      <c r="BC99" s="36"/>
      <c r="BD99" s="63"/>
      <c r="BE99" s="41"/>
      <c r="BF99" s="43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36"/>
      <c r="BU99" s="36"/>
      <c r="BV99" s="36"/>
      <c r="BW99" s="36"/>
      <c r="BX99" s="103"/>
      <c r="BY99" s="115"/>
      <c r="BZ99" s="241"/>
      <c r="CA99" s="242"/>
      <c r="CB99" s="36"/>
      <c r="CC99" s="36"/>
      <c r="CD99" s="36"/>
      <c r="CE99" s="36"/>
      <c r="CF99" s="36"/>
      <c r="CG99" s="36"/>
      <c r="CH99" s="36"/>
      <c r="CI99" s="36"/>
      <c r="CJ99" s="36"/>
      <c r="CK99" s="41"/>
      <c r="CL99" s="66"/>
      <c r="CM99" s="66"/>
      <c r="CN99" s="66"/>
      <c r="CO99" s="66"/>
      <c r="CP99" s="6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61"/>
      <c r="DL99" s="41"/>
      <c r="DM99" s="41"/>
      <c r="DN99" s="41"/>
      <c r="DO99" s="41"/>
      <c r="DP99" s="41"/>
      <c r="DQ99" s="41"/>
      <c r="DR99" s="41"/>
      <c r="DS99" s="41"/>
      <c r="DT99" s="41"/>
      <c r="DU99" s="41"/>
    </row>
    <row r="100" spans="1:125" s="48" customFormat="1" ht="16.5" customHeight="1" x14ac:dyDescent="0.3">
      <c r="A100" s="36"/>
      <c r="B100" s="36"/>
      <c r="C100" s="36"/>
      <c r="D100" s="36"/>
      <c r="E100" s="36"/>
      <c r="F100" s="36"/>
      <c r="G100" s="36"/>
      <c r="H100" s="36"/>
      <c r="I100" s="37"/>
      <c r="J100" s="36"/>
      <c r="K100" s="36"/>
      <c r="L100" s="36"/>
      <c r="M100" s="37"/>
      <c r="N100" s="36"/>
      <c r="O100" s="36"/>
      <c r="P100" s="41"/>
      <c r="Q100" s="41"/>
      <c r="R100" s="41"/>
      <c r="S100" s="41"/>
      <c r="T100" s="41"/>
      <c r="U100" s="36"/>
      <c r="V100" s="36"/>
      <c r="W100" s="36"/>
      <c r="X100" s="42"/>
      <c r="Y100" s="41"/>
      <c r="Z100" s="41"/>
      <c r="AA100" s="41"/>
      <c r="AB100" s="41"/>
      <c r="AC100" s="41"/>
      <c r="AD100" s="36"/>
      <c r="AE100" s="36"/>
      <c r="AF100" s="36"/>
      <c r="AG100" s="44"/>
      <c r="AH100" s="41"/>
      <c r="AI100" s="41"/>
      <c r="AJ100" s="41"/>
      <c r="AK100" s="41"/>
      <c r="AL100" s="41"/>
      <c r="AM100" s="41"/>
      <c r="AN100" s="41"/>
      <c r="AO100" s="41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45"/>
      <c r="BB100" s="36"/>
      <c r="BC100" s="36"/>
      <c r="BD100" s="63"/>
      <c r="BE100" s="41"/>
      <c r="BF100" s="43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36"/>
      <c r="BU100" s="36"/>
      <c r="BV100" s="36"/>
      <c r="BW100" s="36"/>
      <c r="BX100" s="103"/>
      <c r="BY100" s="115"/>
      <c r="BZ100" s="116"/>
      <c r="CA100" s="36"/>
      <c r="CB100" s="36"/>
      <c r="CC100" s="36"/>
      <c r="CD100" s="36"/>
      <c r="CE100" s="36"/>
      <c r="CF100" s="36"/>
      <c r="CG100" s="36"/>
      <c r="CH100" s="36"/>
      <c r="CI100" s="36"/>
      <c r="CJ100" s="61"/>
      <c r="CK100" s="66"/>
      <c r="CL100" s="66"/>
      <c r="CM100" s="66"/>
      <c r="CN100" s="66"/>
      <c r="CO100" s="6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96">
        <f t="shared" ref="DK100:DK115" si="12">((A104-BG100)+(K100-G100))*17*DI100/1000</f>
        <v>0</v>
      </c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</row>
    <row r="101" spans="1:125" s="48" customFormat="1" ht="16.5" customHeight="1" x14ac:dyDescent="0.3">
      <c r="A101" s="36"/>
      <c r="B101" s="36"/>
      <c r="C101" s="36"/>
      <c r="D101" s="36"/>
      <c r="E101" s="36"/>
      <c r="F101" s="36"/>
      <c r="G101" s="36"/>
      <c r="H101" s="36"/>
      <c r="I101" s="37"/>
      <c r="J101" s="36"/>
      <c r="K101" s="36"/>
      <c r="L101" s="36"/>
      <c r="M101" s="37"/>
      <c r="N101" s="36"/>
      <c r="O101" s="36"/>
      <c r="P101" s="41"/>
      <c r="Q101" s="41"/>
      <c r="R101" s="41"/>
      <c r="S101" s="41"/>
      <c r="T101" s="41"/>
      <c r="U101" s="36"/>
      <c r="V101" s="36"/>
      <c r="W101" s="36"/>
      <c r="X101" s="42"/>
      <c r="Y101" s="41"/>
      <c r="Z101" s="41"/>
      <c r="AA101" s="41"/>
      <c r="AB101" s="41"/>
      <c r="AC101" s="41"/>
      <c r="AD101" s="36"/>
      <c r="AE101" s="36"/>
      <c r="AF101" s="36"/>
      <c r="AG101" s="44"/>
      <c r="AH101" s="41"/>
      <c r="AI101" s="41"/>
      <c r="AJ101" s="41"/>
      <c r="AK101" s="41"/>
      <c r="AL101" s="41"/>
      <c r="AM101" s="41"/>
      <c r="AN101" s="41"/>
      <c r="AO101" s="41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45"/>
      <c r="BB101" s="36"/>
      <c r="BC101" s="36"/>
      <c r="BD101" s="63"/>
      <c r="BE101" s="41"/>
      <c r="BF101" s="43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36"/>
      <c r="BU101" s="36"/>
      <c r="BV101" s="36"/>
      <c r="BW101" s="36"/>
      <c r="BX101" s="103"/>
      <c r="BY101" s="115"/>
      <c r="BZ101" s="116"/>
      <c r="CA101" s="36"/>
      <c r="CB101" s="36"/>
      <c r="CC101" s="36"/>
      <c r="CD101" s="36"/>
      <c r="CE101" s="36"/>
      <c r="CF101" s="36"/>
      <c r="CG101" s="36"/>
      <c r="CH101" s="36"/>
      <c r="CI101" s="36"/>
      <c r="CJ101" s="61"/>
      <c r="CK101" s="66"/>
      <c r="CL101" s="66"/>
      <c r="CM101" s="66"/>
      <c r="CN101" s="66"/>
      <c r="CO101" s="6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96">
        <f t="shared" si="12"/>
        <v>0</v>
      </c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</row>
    <row r="102" spans="1:125" s="48" customFormat="1" ht="16.5" customHeight="1" x14ac:dyDescent="0.3">
      <c r="A102" s="36"/>
      <c r="B102" s="36"/>
      <c r="C102" s="36"/>
      <c r="D102" s="36"/>
      <c r="E102" s="36"/>
      <c r="F102" s="36"/>
      <c r="G102" s="36"/>
      <c r="H102" s="36"/>
      <c r="I102" s="37"/>
      <c r="J102" s="36"/>
      <c r="K102" s="36"/>
      <c r="L102" s="36"/>
      <c r="M102" s="37"/>
      <c r="N102" s="36"/>
      <c r="O102" s="36"/>
      <c r="P102" s="41"/>
      <c r="Q102" s="41"/>
      <c r="R102" s="41"/>
      <c r="S102" s="41"/>
      <c r="T102" s="41"/>
      <c r="U102" s="36"/>
      <c r="V102" s="36"/>
      <c r="W102" s="36"/>
      <c r="X102" s="42"/>
      <c r="Y102" s="41"/>
      <c r="Z102" s="41"/>
      <c r="AA102" s="41"/>
      <c r="AB102" s="41"/>
      <c r="AC102" s="41"/>
      <c r="AD102" s="36"/>
      <c r="AE102" s="36"/>
      <c r="AF102" s="36"/>
      <c r="AG102" s="44"/>
      <c r="AH102" s="41"/>
      <c r="AI102" s="41"/>
      <c r="AJ102" s="41"/>
      <c r="AK102" s="41"/>
      <c r="AL102" s="41"/>
      <c r="AM102" s="41"/>
      <c r="AN102" s="41"/>
      <c r="AO102" s="41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45"/>
      <c r="BB102" s="36"/>
      <c r="BC102" s="36"/>
      <c r="BD102" s="63"/>
      <c r="BE102" s="41"/>
      <c r="BF102" s="43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36"/>
      <c r="BU102" s="36"/>
      <c r="BV102" s="36"/>
      <c r="BW102" s="36"/>
      <c r="BX102" s="103"/>
      <c r="BY102" s="115"/>
      <c r="BZ102" s="116"/>
      <c r="CA102" s="36"/>
      <c r="CB102" s="36"/>
      <c r="CC102" s="36"/>
      <c r="CD102" s="36"/>
      <c r="CE102" s="36"/>
      <c r="CF102" s="36"/>
      <c r="CG102" s="36"/>
      <c r="CH102" s="36"/>
      <c r="CI102" s="36"/>
      <c r="CJ102" s="61"/>
      <c r="CK102" s="66"/>
      <c r="CL102" s="66"/>
      <c r="CM102" s="66"/>
      <c r="CN102" s="66"/>
      <c r="CO102" s="6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96">
        <f t="shared" si="12"/>
        <v>0</v>
      </c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</row>
    <row r="103" spans="1:125" s="48" customFormat="1" ht="16.5" customHeight="1" x14ac:dyDescent="0.3">
      <c r="A103" s="36"/>
      <c r="B103" s="36"/>
      <c r="C103" s="36"/>
      <c r="D103" s="36"/>
      <c r="E103" s="36"/>
      <c r="F103" s="36"/>
      <c r="G103" s="36"/>
      <c r="H103" s="36"/>
      <c r="I103" s="37"/>
      <c r="J103" s="36"/>
      <c r="K103" s="36"/>
      <c r="L103" s="36"/>
      <c r="M103" s="37"/>
      <c r="N103" s="36"/>
      <c r="O103" s="36"/>
      <c r="P103" s="41"/>
      <c r="Q103" s="41"/>
      <c r="R103" s="41"/>
      <c r="S103" s="41"/>
      <c r="T103" s="41"/>
      <c r="U103" s="36"/>
      <c r="V103" s="36"/>
      <c r="W103" s="36"/>
      <c r="X103" s="42"/>
      <c r="Y103" s="41"/>
      <c r="Z103" s="41"/>
      <c r="AA103" s="41"/>
      <c r="AB103" s="41"/>
      <c r="AC103" s="41"/>
      <c r="AD103" s="36"/>
      <c r="AE103" s="36"/>
      <c r="AF103" s="36"/>
      <c r="AG103" s="44"/>
      <c r="AH103" s="41"/>
      <c r="AI103" s="41"/>
      <c r="AJ103" s="41"/>
      <c r="AK103" s="41"/>
      <c r="AL103" s="41"/>
      <c r="AM103" s="41"/>
      <c r="AN103" s="41"/>
      <c r="AO103" s="41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45"/>
      <c r="BB103" s="36"/>
      <c r="BC103" s="36"/>
      <c r="BD103" s="63"/>
      <c r="BE103" s="41"/>
      <c r="BF103" s="43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36"/>
      <c r="BU103" s="36"/>
      <c r="BV103" s="36"/>
      <c r="BW103" s="36"/>
      <c r="BX103" s="103"/>
      <c r="BY103" s="115"/>
      <c r="BZ103" s="116"/>
      <c r="CA103" s="36"/>
      <c r="CB103" s="36"/>
      <c r="CC103" s="36"/>
      <c r="CD103" s="36"/>
      <c r="CE103" s="36"/>
      <c r="CF103" s="36"/>
      <c r="CG103" s="36"/>
      <c r="CH103" s="36"/>
      <c r="CI103" s="36"/>
      <c r="CJ103" s="61"/>
      <c r="CK103" s="66"/>
      <c r="CL103" s="66"/>
      <c r="CM103" s="66"/>
      <c r="CN103" s="66"/>
      <c r="CO103" s="6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96">
        <f t="shared" si="12"/>
        <v>0</v>
      </c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</row>
    <row r="104" spans="1:125" s="48" customFormat="1" ht="16.5" customHeight="1" x14ac:dyDescent="0.3">
      <c r="A104" s="36"/>
      <c r="B104" s="36"/>
      <c r="C104" s="36"/>
      <c r="D104" s="36"/>
      <c r="E104" s="36"/>
      <c r="F104" s="36"/>
      <c r="G104" s="36"/>
      <c r="H104" s="36"/>
      <c r="I104" s="37"/>
      <c r="J104" s="36"/>
      <c r="K104" s="36"/>
      <c r="L104" s="36"/>
      <c r="M104" s="37"/>
      <c r="N104" s="36"/>
      <c r="O104" s="36"/>
      <c r="P104" s="41"/>
      <c r="Q104" s="41"/>
      <c r="R104" s="41"/>
      <c r="S104" s="41"/>
      <c r="T104" s="41"/>
      <c r="U104" s="36"/>
      <c r="V104" s="36"/>
      <c r="W104" s="36"/>
      <c r="X104" s="42"/>
      <c r="Y104" s="41"/>
      <c r="Z104" s="41"/>
      <c r="AA104" s="41"/>
      <c r="AB104" s="41"/>
      <c r="AC104" s="41"/>
      <c r="AD104" s="36"/>
      <c r="AE104" s="36"/>
      <c r="AF104" s="36"/>
      <c r="AG104" s="44"/>
      <c r="AH104" s="41"/>
      <c r="AI104" s="41"/>
      <c r="AJ104" s="41"/>
      <c r="AK104" s="41"/>
      <c r="AL104" s="41"/>
      <c r="AM104" s="41"/>
      <c r="AN104" s="41"/>
      <c r="AO104" s="41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45"/>
      <c r="BB104" s="36"/>
      <c r="BC104" s="36"/>
      <c r="BD104" s="63"/>
      <c r="BE104" s="41"/>
      <c r="BF104" s="43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36"/>
      <c r="BU104" s="36"/>
      <c r="BV104" s="36"/>
      <c r="BW104" s="36"/>
      <c r="BX104" s="103"/>
      <c r="BY104" s="115"/>
      <c r="BZ104" s="116"/>
      <c r="CA104" s="36"/>
      <c r="CB104" s="36"/>
      <c r="CC104" s="36"/>
      <c r="CD104" s="36"/>
      <c r="CE104" s="36"/>
      <c r="CF104" s="36"/>
      <c r="CG104" s="36"/>
      <c r="CH104" s="36"/>
      <c r="CI104" s="36"/>
      <c r="CJ104" s="61"/>
      <c r="CK104" s="66"/>
      <c r="CL104" s="66"/>
      <c r="CM104" s="66"/>
      <c r="CN104" s="66"/>
      <c r="CO104" s="6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96">
        <f t="shared" si="12"/>
        <v>0</v>
      </c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</row>
    <row r="105" spans="1:125" s="48" customFormat="1" ht="16.5" customHeight="1" x14ac:dyDescent="0.3">
      <c r="A105" s="36"/>
      <c r="B105" s="36"/>
      <c r="C105" s="36"/>
      <c r="D105" s="36"/>
      <c r="E105" s="36"/>
      <c r="F105" s="36"/>
      <c r="G105" s="36"/>
      <c r="H105" s="36"/>
      <c r="I105" s="37"/>
      <c r="J105" s="36"/>
      <c r="K105" s="36"/>
      <c r="L105" s="36"/>
      <c r="M105" s="37"/>
      <c r="N105" s="36"/>
      <c r="O105" s="36"/>
      <c r="P105" s="41"/>
      <c r="Q105" s="41"/>
      <c r="R105" s="41"/>
      <c r="S105" s="41"/>
      <c r="T105" s="41"/>
      <c r="U105" s="36"/>
      <c r="V105" s="36"/>
      <c r="W105" s="36"/>
      <c r="X105" s="42"/>
      <c r="Y105" s="41"/>
      <c r="Z105" s="41"/>
      <c r="AA105" s="41"/>
      <c r="AB105" s="41"/>
      <c r="AC105" s="41"/>
      <c r="AD105" s="36"/>
      <c r="AE105" s="36"/>
      <c r="AF105" s="36"/>
      <c r="AG105" s="44"/>
      <c r="AH105" s="41"/>
      <c r="AI105" s="41"/>
      <c r="AJ105" s="41"/>
      <c r="AK105" s="41"/>
      <c r="AL105" s="41"/>
      <c r="AM105" s="41"/>
      <c r="AN105" s="41"/>
      <c r="AO105" s="41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45"/>
      <c r="BB105" s="36"/>
      <c r="BC105" s="36"/>
      <c r="BD105" s="63"/>
      <c r="BE105" s="41"/>
      <c r="BF105" s="43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36"/>
      <c r="BU105" s="36"/>
      <c r="BV105" s="36"/>
      <c r="BW105" s="36"/>
      <c r="BX105" s="103"/>
      <c r="BY105" s="115"/>
      <c r="BZ105" s="116"/>
      <c r="CA105" s="36"/>
      <c r="CB105" s="36"/>
      <c r="CC105" s="36"/>
      <c r="CD105" s="36"/>
      <c r="CE105" s="36"/>
      <c r="CF105" s="36"/>
      <c r="CG105" s="36"/>
      <c r="CH105" s="36"/>
      <c r="CI105" s="36"/>
      <c r="CJ105" s="61"/>
      <c r="CK105" s="66"/>
      <c r="CL105" s="66"/>
      <c r="CM105" s="66"/>
      <c r="CN105" s="66"/>
      <c r="CO105" s="6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96">
        <f t="shared" si="12"/>
        <v>0</v>
      </c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</row>
    <row r="106" spans="1:125" s="48" customFormat="1" ht="16.5" customHeight="1" x14ac:dyDescent="0.3">
      <c r="A106" s="36"/>
      <c r="B106" s="36"/>
      <c r="C106" s="36"/>
      <c r="D106" s="36"/>
      <c r="E106" s="36"/>
      <c r="F106" s="36"/>
      <c r="G106" s="36"/>
      <c r="H106" s="36"/>
      <c r="I106" s="37"/>
      <c r="J106" s="36"/>
      <c r="K106" s="36"/>
      <c r="L106" s="36"/>
      <c r="M106" s="37"/>
      <c r="N106" s="36"/>
      <c r="O106" s="36"/>
      <c r="P106" s="41"/>
      <c r="Q106" s="41"/>
      <c r="R106" s="41"/>
      <c r="S106" s="41"/>
      <c r="T106" s="41"/>
      <c r="U106" s="36"/>
      <c r="V106" s="36"/>
      <c r="W106" s="36"/>
      <c r="X106" s="42"/>
      <c r="Y106" s="41"/>
      <c r="Z106" s="41"/>
      <c r="AA106" s="41"/>
      <c r="AB106" s="41"/>
      <c r="AC106" s="41"/>
      <c r="AD106" s="36"/>
      <c r="AE106" s="36"/>
      <c r="AF106" s="36"/>
      <c r="AG106" s="44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36"/>
      <c r="AX106" s="36"/>
      <c r="AY106" s="36"/>
      <c r="AZ106" s="36"/>
      <c r="BA106" s="45"/>
      <c r="BB106" s="36"/>
      <c r="BC106" s="36"/>
      <c r="BD106" s="63"/>
      <c r="BE106" s="41"/>
      <c r="BF106" s="43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36"/>
      <c r="BU106" s="36"/>
      <c r="BV106" s="36"/>
      <c r="BW106" s="36"/>
      <c r="BX106" s="103"/>
      <c r="BY106" s="115"/>
      <c r="BZ106" s="116"/>
      <c r="CA106" s="36"/>
      <c r="CB106" s="36"/>
      <c r="CC106" s="36"/>
      <c r="CD106" s="36"/>
      <c r="CE106" s="36"/>
      <c r="CF106" s="36"/>
      <c r="CG106" s="36"/>
      <c r="CH106" s="36"/>
      <c r="CI106" s="36"/>
      <c r="CJ106" s="61"/>
      <c r="CK106" s="66"/>
      <c r="CL106" s="66"/>
      <c r="CM106" s="66"/>
      <c r="CN106" s="66"/>
      <c r="CO106" s="6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96">
        <f t="shared" si="12"/>
        <v>0</v>
      </c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</row>
    <row r="107" spans="1:125" s="48" customFormat="1" ht="16.5" customHeight="1" x14ac:dyDescent="0.3">
      <c r="A107" s="36"/>
      <c r="B107" s="36"/>
      <c r="C107" s="36"/>
      <c r="D107" s="36"/>
      <c r="E107" s="36"/>
      <c r="F107" s="36"/>
      <c r="G107" s="36"/>
      <c r="H107" s="36"/>
      <c r="I107" s="37"/>
      <c r="J107" s="36"/>
      <c r="K107" s="36"/>
      <c r="L107" s="36"/>
      <c r="M107" s="37"/>
      <c r="N107" s="36"/>
      <c r="O107" s="36"/>
      <c r="P107" s="41"/>
      <c r="Q107" s="41"/>
      <c r="R107" s="41"/>
      <c r="S107" s="41"/>
      <c r="T107" s="41"/>
      <c r="U107" s="36"/>
      <c r="V107" s="36"/>
      <c r="W107" s="36"/>
      <c r="X107" s="42"/>
      <c r="Y107" s="41"/>
      <c r="Z107" s="41"/>
      <c r="AA107" s="41"/>
      <c r="AB107" s="41"/>
      <c r="AC107" s="41"/>
      <c r="AD107" s="36"/>
      <c r="AE107" s="36"/>
      <c r="AF107" s="36"/>
      <c r="AG107" s="44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36"/>
      <c r="AX107" s="36"/>
      <c r="AY107" s="36"/>
      <c r="AZ107" s="36"/>
      <c r="BA107" s="45"/>
      <c r="BB107" s="36"/>
      <c r="BC107" s="36"/>
      <c r="BD107" s="63"/>
      <c r="BE107" s="41"/>
      <c r="BF107" s="43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36"/>
      <c r="BU107" s="36"/>
      <c r="BV107" s="36"/>
      <c r="BW107" s="36"/>
      <c r="BX107" s="103"/>
      <c r="BY107" s="115"/>
      <c r="BZ107" s="116"/>
      <c r="CA107" s="36"/>
      <c r="CB107" s="36"/>
      <c r="CC107" s="36"/>
      <c r="CD107" s="36"/>
      <c r="CE107" s="36"/>
      <c r="CF107" s="36"/>
      <c r="CG107" s="36"/>
      <c r="CH107" s="36"/>
      <c r="CI107" s="36"/>
      <c r="CJ107" s="61"/>
      <c r="CK107" s="66"/>
      <c r="CL107" s="66"/>
      <c r="CM107" s="66"/>
      <c r="CN107" s="66"/>
      <c r="CO107" s="6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96">
        <f t="shared" si="12"/>
        <v>0</v>
      </c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</row>
    <row r="108" spans="1:125" s="48" customFormat="1" ht="16.5" customHeight="1" x14ac:dyDescent="0.3">
      <c r="A108" s="36"/>
      <c r="B108" s="36"/>
      <c r="C108" s="36"/>
      <c r="D108" s="36"/>
      <c r="E108" s="36"/>
      <c r="F108" s="36"/>
      <c r="G108" s="36"/>
      <c r="H108" s="36"/>
      <c r="I108" s="37"/>
      <c r="J108" s="36"/>
      <c r="K108" s="36"/>
      <c r="L108" s="36"/>
      <c r="M108" s="37"/>
      <c r="N108" s="36"/>
      <c r="O108" s="36"/>
      <c r="P108" s="41"/>
      <c r="Q108" s="41"/>
      <c r="R108" s="41"/>
      <c r="S108" s="41"/>
      <c r="T108" s="41"/>
      <c r="U108" s="36"/>
      <c r="V108" s="36"/>
      <c r="W108" s="36"/>
      <c r="X108" s="42"/>
      <c r="Y108" s="41"/>
      <c r="Z108" s="41"/>
      <c r="AA108" s="41"/>
      <c r="AB108" s="41"/>
      <c r="AC108" s="41"/>
      <c r="AD108" s="36"/>
      <c r="AE108" s="36"/>
      <c r="AF108" s="36"/>
      <c r="AG108" s="44"/>
      <c r="AH108" s="41"/>
      <c r="AI108" s="41"/>
      <c r="AJ108" s="41"/>
      <c r="AK108" s="41"/>
      <c r="AL108" s="41"/>
      <c r="AM108" s="41"/>
      <c r="AN108" s="104"/>
      <c r="AO108" s="41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45"/>
      <c r="BB108" s="36"/>
      <c r="BC108" s="36"/>
      <c r="BD108" s="63"/>
      <c r="BE108" s="41"/>
      <c r="BF108" s="43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36"/>
      <c r="BU108" s="36"/>
      <c r="BV108" s="36"/>
      <c r="BW108" s="36"/>
      <c r="BX108" s="103"/>
      <c r="BY108" s="115"/>
      <c r="BZ108" s="116"/>
      <c r="CA108" s="36"/>
      <c r="CB108" s="36"/>
      <c r="CC108" s="36"/>
      <c r="CD108" s="36"/>
      <c r="CE108" s="36"/>
      <c r="CF108" s="36"/>
      <c r="CG108" s="36"/>
      <c r="CH108" s="36"/>
      <c r="CI108" s="36"/>
      <c r="CJ108" s="61"/>
      <c r="CK108" s="66"/>
      <c r="CL108" s="66"/>
      <c r="CM108" s="66"/>
      <c r="CN108" s="66"/>
      <c r="CO108" s="6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96">
        <f t="shared" si="12"/>
        <v>0</v>
      </c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</row>
    <row r="109" spans="1:125" s="48" customFormat="1" ht="16.5" customHeight="1" x14ac:dyDescent="0.3">
      <c r="A109" s="36"/>
      <c r="B109" s="36"/>
      <c r="C109" s="36"/>
      <c r="D109" s="36"/>
      <c r="E109" s="36"/>
      <c r="F109" s="36"/>
      <c r="G109" s="36"/>
      <c r="H109" s="36"/>
      <c r="I109" s="37"/>
      <c r="J109" s="36"/>
      <c r="K109" s="36"/>
      <c r="L109" s="36"/>
      <c r="M109" s="37"/>
      <c r="N109" s="36"/>
      <c r="O109" s="36"/>
      <c r="P109" s="41"/>
      <c r="Q109" s="41"/>
      <c r="R109" s="41"/>
      <c r="S109" s="41"/>
      <c r="T109" s="41"/>
      <c r="U109" s="36"/>
      <c r="V109" s="36"/>
      <c r="W109" s="36"/>
      <c r="X109" s="42"/>
      <c r="Y109" s="41"/>
      <c r="Z109" s="41"/>
      <c r="AA109" s="41"/>
      <c r="AB109" s="41"/>
      <c r="AC109" s="41"/>
      <c r="AD109" s="36"/>
      <c r="AE109" s="36"/>
      <c r="AF109" s="36"/>
      <c r="AG109" s="44"/>
      <c r="AH109" s="41"/>
      <c r="AI109" s="41"/>
      <c r="AJ109" s="41"/>
      <c r="AK109" s="41"/>
      <c r="AL109" s="41"/>
      <c r="AM109" s="41"/>
      <c r="AN109" s="104"/>
      <c r="AO109" s="41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45"/>
      <c r="BB109" s="36"/>
      <c r="BC109" s="36"/>
      <c r="BD109" s="63"/>
      <c r="BE109" s="41"/>
      <c r="BF109" s="43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36"/>
      <c r="BU109" s="36"/>
      <c r="BV109" s="36"/>
      <c r="BW109" s="36"/>
      <c r="BX109" s="103"/>
      <c r="BY109" s="115"/>
      <c r="BZ109" s="116"/>
      <c r="CA109" s="36"/>
      <c r="CB109" s="36"/>
      <c r="CC109" s="36"/>
      <c r="CD109" s="36"/>
      <c r="CE109" s="36"/>
      <c r="CF109" s="36"/>
      <c r="CG109" s="36"/>
      <c r="CH109" s="36"/>
      <c r="CI109" s="36"/>
      <c r="CJ109" s="61"/>
      <c r="CK109" s="66"/>
      <c r="CL109" s="66"/>
      <c r="CM109" s="66"/>
      <c r="CN109" s="66"/>
      <c r="CO109" s="6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96">
        <f t="shared" si="12"/>
        <v>0</v>
      </c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</row>
    <row r="110" spans="1:125" s="48" customFormat="1" ht="16.5" customHeight="1" x14ac:dyDescent="0.3">
      <c r="A110" s="36"/>
      <c r="B110" s="36"/>
      <c r="C110" s="36"/>
      <c r="D110" s="36"/>
      <c r="E110" s="36"/>
      <c r="F110" s="36"/>
      <c r="G110" s="36"/>
      <c r="H110" s="36"/>
      <c r="I110" s="37"/>
      <c r="J110" s="36"/>
      <c r="K110" s="36"/>
      <c r="L110" s="36"/>
      <c r="M110" s="37"/>
      <c r="N110" s="36"/>
      <c r="O110" s="36"/>
      <c r="P110" s="41"/>
      <c r="Q110" s="41"/>
      <c r="R110" s="41"/>
      <c r="S110" s="41"/>
      <c r="T110" s="41"/>
      <c r="U110" s="36"/>
      <c r="V110" s="36"/>
      <c r="W110" s="36"/>
      <c r="X110" s="42"/>
      <c r="Y110" s="41"/>
      <c r="Z110" s="41"/>
      <c r="AA110" s="41"/>
      <c r="AB110" s="41"/>
      <c r="AC110" s="41"/>
      <c r="AD110" s="36"/>
      <c r="AE110" s="36"/>
      <c r="AF110" s="36"/>
      <c r="AG110" s="44"/>
      <c r="AH110" s="41"/>
      <c r="AI110" s="41"/>
      <c r="AJ110" s="41"/>
      <c r="AK110" s="41"/>
      <c r="AL110" s="41"/>
      <c r="AM110" s="41"/>
      <c r="AN110" s="104"/>
      <c r="AO110" s="41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45"/>
      <c r="BB110" s="36"/>
      <c r="BC110" s="36"/>
      <c r="BD110" s="63"/>
      <c r="BE110" s="41"/>
      <c r="BF110" s="43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36"/>
      <c r="BU110" s="36"/>
      <c r="BV110" s="36"/>
      <c r="BW110" s="36"/>
      <c r="BX110" s="103"/>
      <c r="BY110" s="115"/>
      <c r="BZ110" s="116"/>
      <c r="CA110" s="36"/>
      <c r="CB110" s="36"/>
      <c r="CC110" s="36"/>
      <c r="CD110" s="36"/>
      <c r="CE110" s="36"/>
      <c r="CF110" s="36"/>
      <c r="CG110" s="36"/>
      <c r="CH110" s="36"/>
      <c r="CI110" s="36"/>
      <c r="CJ110" s="61"/>
      <c r="CK110" s="66"/>
      <c r="CL110" s="66"/>
      <c r="CM110" s="66"/>
      <c r="CN110" s="66"/>
      <c r="CO110" s="6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96">
        <f t="shared" si="12"/>
        <v>0</v>
      </c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</row>
    <row r="111" spans="1:125" s="48" customFormat="1" ht="16.5" customHeight="1" x14ac:dyDescent="0.3">
      <c r="A111" s="36"/>
      <c r="B111" s="36"/>
      <c r="C111" s="36"/>
      <c r="D111" s="36"/>
      <c r="E111" s="36"/>
      <c r="F111" s="36"/>
      <c r="G111" s="36"/>
      <c r="H111" s="36"/>
      <c r="I111" s="37"/>
      <c r="J111" s="36"/>
      <c r="K111" s="36"/>
      <c r="L111" s="36"/>
      <c r="M111" s="37"/>
      <c r="N111" s="36"/>
      <c r="O111" s="36"/>
      <c r="P111" s="41"/>
      <c r="Q111" s="41"/>
      <c r="R111" s="41"/>
      <c r="S111" s="41"/>
      <c r="T111" s="41"/>
      <c r="U111" s="36"/>
      <c r="V111" s="36"/>
      <c r="W111" s="36"/>
      <c r="X111" s="42"/>
      <c r="Y111" s="41"/>
      <c r="Z111" s="41"/>
      <c r="AA111" s="41"/>
      <c r="AB111" s="41"/>
      <c r="AC111" s="41"/>
      <c r="AD111" s="36"/>
      <c r="AE111" s="36"/>
      <c r="AF111" s="36"/>
      <c r="AG111" s="44"/>
      <c r="AH111" s="41"/>
      <c r="AI111" s="41"/>
      <c r="AJ111" s="41"/>
      <c r="AK111" s="41"/>
      <c r="AL111" s="41"/>
      <c r="AM111" s="41"/>
      <c r="AN111" s="41"/>
      <c r="AO111" s="41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45"/>
      <c r="BB111" s="36"/>
      <c r="BC111" s="36"/>
      <c r="BD111" s="63"/>
      <c r="BE111" s="41"/>
      <c r="BF111" s="43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36"/>
      <c r="BU111" s="36"/>
      <c r="BV111" s="36"/>
      <c r="BW111" s="36"/>
      <c r="BX111" s="103"/>
      <c r="BY111" s="115"/>
      <c r="BZ111" s="116"/>
      <c r="CA111" s="36"/>
      <c r="CB111" s="36"/>
      <c r="CC111" s="36"/>
      <c r="CD111" s="36"/>
      <c r="CE111" s="36"/>
      <c r="CF111" s="36"/>
      <c r="CG111" s="36"/>
      <c r="CH111" s="36"/>
      <c r="CI111" s="36"/>
      <c r="CJ111" s="61"/>
      <c r="CK111" s="66"/>
      <c r="CL111" s="66"/>
      <c r="CM111" s="66"/>
      <c r="CN111" s="66"/>
      <c r="CO111" s="6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96">
        <f t="shared" si="12"/>
        <v>0</v>
      </c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</row>
    <row r="112" spans="1:125" s="48" customFormat="1" ht="16.5" customHeight="1" x14ac:dyDescent="0.3">
      <c r="A112" s="36"/>
      <c r="B112" s="36"/>
      <c r="C112" s="36"/>
      <c r="D112" s="36"/>
      <c r="E112" s="36"/>
      <c r="F112" s="36"/>
      <c r="G112" s="36"/>
      <c r="H112" s="36"/>
      <c r="I112" s="37"/>
      <c r="J112" s="36"/>
      <c r="K112" s="36"/>
      <c r="L112" s="36"/>
      <c r="M112" s="37"/>
      <c r="N112" s="36"/>
      <c r="O112" s="36"/>
      <c r="P112" s="41"/>
      <c r="Q112" s="41"/>
      <c r="R112" s="41"/>
      <c r="S112" s="41"/>
      <c r="T112" s="41"/>
      <c r="U112" s="36"/>
      <c r="V112" s="36"/>
      <c r="W112" s="36"/>
      <c r="X112" s="42"/>
      <c r="Y112" s="41"/>
      <c r="Z112" s="41"/>
      <c r="AA112" s="41"/>
      <c r="AB112" s="41"/>
      <c r="AC112" s="41"/>
      <c r="AD112" s="36"/>
      <c r="AE112" s="36"/>
      <c r="AF112" s="36"/>
      <c r="AG112" s="44"/>
      <c r="AH112" s="41"/>
      <c r="AI112" s="41"/>
      <c r="AJ112" s="41"/>
      <c r="AK112" s="41"/>
      <c r="AL112" s="41"/>
      <c r="AM112" s="41"/>
      <c r="AN112" s="41"/>
      <c r="AO112" s="41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45"/>
      <c r="BB112" s="36"/>
      <c r="BC112" s="36"/>
      <c r="BD112" s="63"/>
      <c r="BE112" s="41"/>
      <c r="BF112" s="43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36"/>
      <c r="BU112" s="36"/>
      <c r="BV112" s="36"/>
      <c r="BW112" s="36"/>
      <c r="BX112" s="103"/>
      <c r="BY112" s="115"/>
      <c r="BZ112" s="116"/>
      <c r="CA112" s="36"/>
      <c r="CB112" s="36"/>
      <c r="CC112" s="36"/>
      <c r="CD112" s="36"/>
      <c r="CE112" s="36"/>
      <c r="CF112" s="36"/>
      <c r="CG112" s="36"/>
      <c r="CH112" s="36"/>
      <c r="CI112" s="36"/>
      <c r="CJ112" s="61"/>
      <c r="CK112" s="66"/>
      <c r="CL112" s="66"/>
      <c r="CM112" s="66"/>
      <c r="CN112" s="66"/>
      <c r="CO112" s="6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96">
        <f t="shared" si="12"/>
        <v>0</v>
      </c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</row>
    <row r="113" spans="1:125" s="48" customFormat="1" ht="16.5" customHeight="1" x14ac:dyDescent="0.3">
      <c r="A113" s="36"/>
      <c r="B113" s="36"/>
      <c r="C113" s="36"/>
      <c r="D113" s="36"/>
      <c r="E113" s="36"/>
      <c r="F113" s="36"/>
      <c r="G113" s="36"/>
      <c r="H113" s="36"/>
      <c r="I113" s="37"/>
      <c r="J113" s="36"/>
      <c r="K113" s="36"/>
      <c r="L113" s="36"/>
      <c r="M113" s="37"/>
      <c r="N113" s="36"/>
      <c r="O113" s="36"/>
      <c r="P113" s="41"/>
      <c r="Q113" s="41"/>
      <c r="R113" s="41"/>
      <c r="S113" s="41"/>
      <c r="T113" s="41"/>
      <c r="U113" s="36"/>
      <c r="V113" s="36"/>
      <c r="W113" s="36"/>
      <c r="X113" s="42"/>
      <c r="Y113" s="41"/>
      <c r="Z113" s="41"/>
      <c r="AA113" s="41"/>
      <c r="AB113" s="41"/>
      <c r="AC113" s="41"/>
      <c r="AD113" s="36"/>
      <c r="AE113" s="36"/>
      <c r="AF113" s="36"/>
      <c r="AG113" s="44"/>
      <c r="AH113" s="41"/>
      <c r="AI113" s="41"/>
      <c r="AJ113" s="41"/>
      <c r="AK113" s="41"/>
      <c r="AL113" s="41"/>
      <c r="AM113" s="41"/>
      <c r="AN113" s="41"/>
      <c r="AO113" s="41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45"/>
      <c r="BB113" s="36"/>
      <c r="BC113" s="36"/>
      <c r="BD113" s="63"/>
      <c r="BE113" s="41"/>
      <c r="BF113" s="43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36"/>
      <c r="BU113" s="36"/>
      <c r="BV113" s="36"/>
      <c r="BW113" s="36"/>
      <c r="BX113" s="103"/>
      <c r="BY113" s="115"/>
      <c r="BZ113" s="116"/>
      <c r="CA113" s="36"/>
      <c r="CB113" s="36"/>
      <c r="CC113" s="36"/>
      <c r="CD113" s="36"/>
      <c r="CE113" s="36"/>
      <c r="CF113" s="36"/>
      <c r="CG113" s="36"/>
      <c r="CH113" s="36"/>
      <c r="CI113" s="36"/>
      <c r="CJ113" s="61"/>
      <c r="CK113" s="66"/>
      <c r="CL113" s="66"/>
      <c r="CM113" s="66"/>
      <c r="CN113" s="66"/>
      <c r="CO113" s="6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96">
        <f t="shared" si="12"/>
        <v>0</v>
      </c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</row>
    <row r="114" spans="1:125" s="48" customFormat="1" ht="16.5" customHeight="1" x14ac:dyDescent="0.3">
      <c r="A114" s="36"/>
      <c r="B114" s="36"/>
      <c r="C114" s="36"/>
      <c r="D114" s="36"/>
      <c r="E114" s="36"/>
      <c r="F114" s="36"/>
      <c r="G114" s="36"/>
      <c r="H114" s="36"/>
      <c r="I114" s="37"/>
      <c r="J114" s="36"/>
      <c r="K114" s="36"/>
      <c r="L114" s="36"/>
      <c r="M114" s="37"/>
      <c r="N114" s="36"/>
      <c r="O114" s="36"/>
      <c r="P114" s="41"/>
      <c r="Q114" s="41"/>
      <c r="R114" s="41"/>
      <c r="S114" s="41"/>
      <c r="T114" s="41"/>
      <c r="U114" s="36"/>
      <c r="V114" s="36"/>
      <c r="W114" s="36"/>
      <c r="X114" s="42"/>
      <c r="Y114" s="41"/>
      <c r="Z114" s="41"/>
      <c r="AA114" s="41"/>
      <c r="AB114" s="41"/>
      <c r="AC114" s="41"/>
      <c r="AD114" s="36"/>
      <c r="AE114" s="36"/>
      <c r="AF114" s="36"/>
      <c r="AG114" s="44"/>
      <c r="AH114" s="41"/>
      <c r="AI114" s="41"/>
      <c r="AJ114" s="41"/>
      <c r="AK114" s="41"/>
      <c r="AL114" s="41"/>
      <c r="AM114" s="41"/>
      <c r="AN114" s="41"/>
      <c r="AO114" s="41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45"/>
      <c r="BB114" s="36"/>
      <c r="BC114" s="36"/>
      <c r="BD114" s="63"/>
      <c r="BE114" s="41"/>
      <c r="BF114" s="43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36"/>
      <c r="BU114" s="36"/>
      <c r="BV114" s="36"/>
      <c r="BW114" s="36"/>
      <c r="BX114" s="103"/>
      <c r="BY114" s="115"/>
      <c r="BZ114" s="116"/>
      <c r="CA114" s="36"/>
      <c r="CB114" s="36"/>
      <c r="CC114" s="36"/>
      <c r="CD114" s="36"/>
      <c r="CE114" s="36"/>
      <c r="CF114" s="36"/>
      <c r="CG114" s="36"/>
      <c r="CH114" s="36"/>
      <c r="CI114" s="36"/>
      <c r="CJ114" s="61"/>
      <c r="CK114" s="66"/>
      <c r="CL114" s="66"/>
      <c r="CM114" s="66"/>
      <c r="CN114" s="66"/>
      <c r="CO114" s="6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96">
        <f t="shared" si="12"/>
        <v>0</v>
      </c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</row>
    <row r="115" spans="1:125" s="48" customFormat="1" ht="16.5" customHeight="1" x14ac:dyDescent="0.3">
      <c r="A115" s="36"/>
      <c r="B115" s="36"/>
      <c r="C115" s="36"/>
      <c r="D115" s="36"/>
      <c r="E115" s="36"/>
      <c r="F115" s="36"/>
      <c r="G115" s="36"/>
      <c r="H115" s="36"/>
      <c r="I115" s="37"/>
      <c r="J115" s="36"/>
      <c r="K115" s="36"/>
      <c r="L115" s="36"/>
      <c r="M115" s="37"/>
      <c r="N115" s="36"/>
      <c r="O115" s="36"/>
      <c r="P115" s="41"/>
      <c r="Q115" s="41"/>
      <c r="R115" s="41"/>
      <c r="S115" s="41"/>
      <c r="T115" s="41"/>
      <c r="U115" s="36"/>
      <c r="V115" s="36"/>
      <c r="W115" s="36"/>
      <c r="X115" s="42"/>
      <c r="Y115" s="41"/>
      <c r="Z115" s="41"/>
      <c r="AA115" s="41"/>
      <c r="AB115" s="41"/>
      <c r="AC115" s="41"/>
      <c r="AD115" s="36"/>
      <c r="AE115" s="36"/>
      <c r="AF115" s="36"/>
      <c r="AG115" s="44"/>
      <c r="AH115" s="41"/>
      <c r="AI115" s="41"/>
      <c r="AJ115" s="41"/>
      <c r="AK115" s="41"/>
      <c r="AL115" s="41"/>
      <c r="AM115" s="41"/>
      <c r="AN115" s="41"/>
      <c r="AO115" s="41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45"/>
      <c r="BB115" s="36"/>
      <c r="BC115" s="36"/>
      <c r="BD115" s="63"/>
      <c r="BE115" s="41"/>
      <c r="BF115" s="43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36"/>
      <c r="BU115" s="36"/>
      <c r="BV115" s="36"/>
      <c r="BW115" s="36"/>
      <c r="BX115" s="103"/>
      <c r="BY115" s="115"/>
      <c r="BZ115" s="116"/>
      <c r="CA115" s="36"/>
      <c r="CB115" s="36"/>
      <c r="CC115" s="36"/>
      <c r="CD115" s="36"/>
      <c r="CE115" s="36"/>
      <c r="CF115" s="36"/>
      <c r="CG115" s="36"/>
      <c r="CH115" s="36"/>
      <c r="CI115" s="36"/>
      <c r="CJ115" s="61"/>
      <c r="CK115" s="66"/>
      <c r="CL115" s="66"/>
      <c r="CM115" s="66"/>
      <c r="CN115" s="66"/>
      <c r="CO115" s="6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96">
        <f t="shared" si="12"/>
        <v>0</v>
      </c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</row>
    <row r="116" spans="1:125" s="48" customFormat="1" ht="16.5" customHeight="1" x14ac:dyDescent="0.3">
      <c r="A116" s="36"/>
      <c r="B116" s="36"/>
      <c r="C116" s="36"/>
      <c r="D116" s="36"/>
      <c r="E116" s="36"/>
      <c r="F116" s="36"/>
      <c r="G116" s="36"/>
      <c r="H116" s="36"/>
      <c r="I116" s="37"/>
      <c r="J116" s="36"/>
      <c r="K116" s="36"/>
      <c r="L116" s="36"/>
      <c r="M116" s="37"/>
      <c r="N116" s="36"/>
      <c r="O116" s="36"/>
      <c r="P116" s="41"/>
      <c r="Q116" s="41"/>
      <c r="R116" s="41"/>
      <c r="S116" s="41"/>
      <c r="T116" s="41"/>
      <c r="U116" s="36"/>
      <c r="V116" s="36"/>
      <c r="W116" s="36"/>
      <c r="X116" s="42"/>
      <c r="Y116" s="41"/>
      <c r="Z116" s="41"/>
      <c r="AA116" s="41"/>
      <c r="AB116" s="41"/>
      <c r="AC116" s="41"/>
      <c r="AD116" s="36"/>
      <c r="AE116" s="36"/>
      <c r="AF116" s="36"/>
      <c r="AG116" s="44"/>
      <c r="AH116" s="41"/>
      <c r="AI116" s="41"/>
      <c r="AJ116" s="41"/>
      <c r="AK116" s="41"/>
      <c r="AL116" s="41"/>
      <c r="AM116" s="41"/>
      <c r="AN116" s="41"/>
      <c r="AO116" s="41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45"/>
      <c r="BB116" s="36"/>
      <c r="BC116" s="36"/>
      <c r="BD116" s="63"/>
      <c r="BE116" s="41"/>
      <c r="BF116" s="43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36"/>
      <c r="BU116" s="36"/>
      <c r="BV116" s="36"/>
      <c r="BW116" s="36"/>
      <c r="BX116" s="103"/>
      <c r="BY116" s="115"/>
      <c r="BZ116" s="116"/>
      <c r="CA116" s="36"/>
      <c r="CB116" s="36"/>
      <c r="CC116" s="36"/>
      <c r="CD116" s="36"/>
      <c r="CE116" s="36"/>
      <c r="CF116" s="36"/>
      <c r="CG116" s="36"/>
      <c r="CH116" s="36"/>
      <c r="CI116" s="36"/>
      <c r="CJ116" s="61"/>
      <c r="CK116" s="66"/>
      <c r="CL116" s="66"/>
      <c r="CM116" s="66"/>
      <c r="CN116" s="66"/>
      <c r="CO116" s="6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96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</row>
    <row r="117" spans="1:125" s="48" customFormat="1" ht="16.5" customHeight="1" x14ac:dyDescent="0.3">
      <c r="A117" s="36"/>
      <c r="B117" s="36"/>
      <c r="C117" s="36"/>
      <c r="D117" s="36"/>
      <c r="E117" s="36"/>
      <c r="F117" s="36"/>
      <c r="G117" s="36"/>
      <c r="H117" s="36"/>
      <c r="I117" s="37"/>
      <c r="J117" s="36"/>
      <c r="K117" s="36"/>
      <c r="L117" s="36"/>
      <c r="M117" s="37"/>
      <c r="N117" s="36"/>
      <c r="O117" s="36"/>
      <c r="P117" s="41"/>
      <c r="Q117" s="41"/>
      <c r="R117" s="41"/>
      <c r="S117" s="41"/>
      <c r="T117" s="41"/>
      <c r="U117" s="36"/>
      <c r="V117" s="36"/>
      <c r="W117" s="36"/>
      <c r="X117" s="42"/>
      <c r="Y117" s="41"/>
      <c r="Z117" s="41"/>
      <c r="AA117" s="41"/>
      <c r="AB117" s="41"/>
      <c r="AC117" s="41"/>
      <c r="AD117" s="36"/>
      <c r="AE117" s="36"/>
      <c r="AF117" s="36"/>
      <c r="AG117" s="44"/>
      <c r="AH117" s="41"/>
      <c r="AI117" s="41"/>
      <c r="AJ117" s="41"/>
      <c r="AK117" s="41"/>
      <c r="AL117" s="41"/>
      <c r="AM117" s="41"/>
      <c r="AN117" s="41"/>
      <c r="AO117" s="41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45"/>
      <c r="BB117" s="36"/>
      <c r="BC117" s="36"/>
      <c r="BD117" s="63"/>
      <c r="BE117" s="41"/>
      <c r="BF117" s="43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36"/>
      <c r="BU117" s="36"/>
      <c r="BV117" s="36"/>
      <c r="BW117" s="36"/>
      <c r="BX117" s="103"/>
      <c r="BY117" s="115"/>
      <c r="BZ117" s="116"/>
      <c r="CA117" s="36"/>
      <c r="CB117" s="36"/>
      <c r="CC117" s="36"/>
      <c r="CD117" s="36"/>
      <c r="CE117" s="36"/>
      <c r="CF117" s="36"/>
      <c r="CG117" s="36"/>
      <c r="CH117" s="36"/>
      <c r="CI117" s="36"/>
      <c r="CJ117" s="61"/>
      <c r="CK117" s="66"/>
      <c r="CL117" s="66"/>
      <c r="CM117" s="66"/>
      <c r="CN117" s="66"/>
      <c r="CO117" s="6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96">
        <f t="shared" ref="DK117:DK133" si="13">((A121-BG117)+(K117-G117))*17*DI117/1000</f>
        <v>0</v>
      </c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</row>
    <row r="118" spans="1:125" s="48" customFormat="1" ht="16.5" customHeight="1" x14ac:dyDescent="0.3">
      <c r="A118" s="36"/>
      <c r="B118" s="36"/>
      <c r="C118" s="36"/>
      <c r="D118" s="36"/>
      <c r="E118" s="36"/>
      <c r="F118" s="36"/>
      <c r="G118" s="36"/>
      <c r="H118" s="36"/>
      <c r="I118" s="37"/>
      <c r="J118" s="36"/>
      <c r="K118" s="36"/>
      <c r="L118" s="36"/>
      <c r="M118" s="37"/>
      <c r="N118" s="36"/>
      <c r="O118" s="36"/>
      <c r="P118" s="41"/>
      <c r="Q118" s="41"/>
      <c r="R118" s="41"/>
      <c r="S118" s="41"/>
      <c r="T118" s="41"/>
      <c r="U118" s="36"/>
      <c r="V118" s="36"/>
      <c r="W118" s="36"/>
      <c r="X118" s="42"/>
      <c r="Y118" s="41"/>
      <c r="Z118" s="41"/>
      <c r="AA118" s="41"/>
      <c r="AB118" s="41"/>
      <c r="AC118" s="41"/>
      <c r="AD118" s="36"/>
      <c r="AE118" s="36"/>
      <c r="AF118" s="36"/>
      <c r="AG118" s="44"/>
      <c r="AH118" s="41"/>
      <c r="AI118" s="41"/>
      <c r="AJ118" s="41"/>
      <c r="AK118" s="41"/>
      <c r="AL118" s="41"/>
      <c r="AM118" s="41"/>
      <c r="AN118" s="41"/>
      <c r="AO118" s="41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45"/>
      <c r="BB118" s="36"/>
      <c r="BC118" s="36"/>
      <c r="BD118" s="63"/>
      <c r="BE118" s="41"/>
      <c r="BF118" s="43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36"/>
      <c r="BU118" s="36"/>
      <c r="BV118" s="36"/>
      <c r="BW118" s="36"/>
      <c r="BX118" s="103"/>
      <c r="BY118" s="115"/>
      <c r="BZ118" s="116"/>
      <c r="CA118" s="36"/>
      <c r="CB118" s="36"/>
      <c r="CC118" s="36"/>
      <c r="CD118" s="36"/>
      <c r="CE118" s="36"/>
      <c r="CF118" s="36"/>
      <c r="CG118" s="36"/>
      <c r="CH118" s="36"/>
      <c r="CI118" s="36"/>
      <c r="CJ118" s="61"/>
      <c r="CK118" s="66"/>
      <c r="CL118" s="66"/>
      <c r="CM118" s="66"/>
      <c r="CN118" s="66"/>
      <c r="CO118" s="6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96">
        <f t="shared" si="13"/>
        <v>0</v>
      </c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</row>
    <row r="119" spans="1:125" s="48" customFormat="1" ht="16.5" customHeight="1" x14ac:dyDescent="0.3">
      <c r="A119" s="36"/>
      <c r="B119" s="36"/>
      <c r="C119" s="36"/>
      <c r="D119" s="36"/>
      <c r="E119" s="36"/>
      <c r="F119" s="36"/>
      <c r="G119" s="36"/>
      <c r="H119" s="36"/>
      <c r="I119" s="37"/>
      <c r="J119" s="36"/>
      <c r="K119" s="36"/>
      <c r="L119" s="36"/>
      <c r="M119" s="37"/>
      <c r="N119" s="36"/>
      <c r="O119" s="36"/>
      <c r="P119" s="41"/>
      <c r="Q119" s="41"/>
      <c r="R119" s="41"/>
      <c r="S119" s="41"/>
      <c r="T119" s="41"/>
      <c r="U119" s="36"/>
      <c r="V119" s="36"/>
      <c r="W119" s="36"/>
      <c r="X119" s="42"/>
      <c r="Y119" s="41"/>
      <c r="Z119" s="41"/>
      <c r="AA119" s="41"/>
      <c r="AB119" s="41"/>
      <c r="AC119" s="41"/>
      <c r="AD119" s="36"/>
      <c r="AE119" s="36"/>
      <c r="AF119" s="36"/>
      <c r="AG119" s="44"/>
      <c r="AH119" s="41"/>
      <c r="AI119" s="41"/>
      <c r="AJ119" s="41"/>
      <c r="AK119" s="41"/>
      <c r="AL119" s="41"/>
      <c r="AM119" s="41"/>
      <c r="AN119" s="41"/>
      <c r="AO119" s="41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45"/>
      <c r="BB119" s="36"/>
      <c r="BC119" s="36"/>
      <c r="BD119" s="63"/>
      <c r="BE119" s="41"/>
      <c r="BF119" s="43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36"/>
      <c r="BU119" s="36"/>
      <c r="BV119" s="36"/>
      <c r="BW119" s="36"/>
      <c r="BX119" s="103"/>
      <c r="BY119" s="115"/>
      <c r="BZ119" s="116"/>
      <c r="CA119" s="36"/>
      <c r="CB119" s="36"/>
      <c r="CC119" s="36"/>
      <c r="CD119" s="36"/>
      <c r="CE119" s="36"/>
      <c r="CF119" s="36"/>
      <c r="CG119" s="36"/>
      <c r="CH119" s="36"/>
      <c r="CI119" s="36"/>
      <c r="CJ119" s="61"/>
      <c r="CK119" s="66"/>
      <c r="CL119" s="66"/>
      <c r="CM119" s="66"/>
      <c r="CN119" s="66"/>
      <c r="CO119" s="6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96">
        <f t="shared" si="13"/>
        <v>0</v>
      </c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</row>
    <row r="120" spans="1:125" s="48" customFormat="1" ht="16.5" customHeight="1" x14ac:dyDescent="0.3">
      <c r="A120" s="36"/>
      <c r="B120" s="36"/>
      <c r="C120" s="36"/>
      <c r="D120" s="36"/>
      <c r="E120" s="36"/>
      <c r="F120" s="36"/>
      <c r="G120" s="36"/>
      <c r="H120" s="36"/>
      <c r="I120" s="37"/>
      <c r="J120" s="36"/>
      <c r="K120" s="36"/>
      <c r="L120" s="36"/>
      <c r="M120" s="37"/>
      <c r="N120" s="36"/>
      <c r="O120" s="36"/>
      <c r="P120" s="41"/>
      <c r="Q120" s="41"/>
      <c r="R120" s="41"/>
      <c r="S120" s="41"/>
      <c r="T120" s="41"/>
      <c r="U120" s="36"/>
      <c r="V120" s="36"/>
      <c r="W120" s="36"/>
      <c r="X120" s="42"/>
      <c r="Y120" s="41"/>
      <c r="Z120" s="41"/>
      <c r="AA120" s="41"/>
      <c r="AB120" s="41"/>
      <c r="AC120" s="41"/>
      <c r="AD120" s="36"/>
      <c r="AE120" s="36"/>
      <c r="AF120" s="36"/>
      <c r="AG120" s="44"/>
      <c r="AH120" s="41"/>
      <c r="AI120" s="41"/>
      <c r="AJ120" s="41"/>
      <c r="AK120" s="41"/>
      <c r="AL120" s="41"/>
      <c r="AM120" s="41"/>
      <c r="AN120" s="41"/>
      <c r="AO120" s="41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45"/>
      <c r="BB120" s="36"/>
      <c r="BC120" s="36"/>
      <c r="BD120" s="63"/>
      <c r="BE120" s="41"/>
      <c r="BF120" s="43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36"/>
      <c r="BU120" s="36"/>
      <c r="BV120" s="36"/>
      <c r="BW120" s="36"/>
      <c r="BX120" s="103"/>
      <c r="BY120" s="115"/>
      <c r="BZ120" s="116"/>
      <c r="CA120" s="36"/>
      <c r="CB120" s="36"/>
      <c r="CC120" s="36"/>
      <c r="CD120" s="36"/>
      <c r="CE120" s="36"/>
      <c r="CF120" s="36"/>
      <c r="CG120" s="36"/>
      <c r="CH120" s="36"/>
      <c r="CI120" s="36"/>
      <c r="CJ120" s="61"/>
      <c r="CK120" s="66"/>
      <c r="CL120" s="66"/>
      <c r="CM120" s="66"/>
      <c r="CN120" s="66"/>
      <c r="CO120" s="6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96">
        <f t="shared" si="13"/>
        <v>0</v>
      </c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</row>
    <row r="121" spans="1:125" s="48" customFormat="1" ht="16.5" customHeight="1" x14ac:dyDescent="0.3">
      <c r="A121" s="36"/>
      <c r="B121" s="36"/>
      <c r="C121" s="36"/>
      <c r="D121" s="36"/>
      <c r="E121" s="36"/>
      <c r="F121" s="36"/>
      <c r="G121" s="36"/>
      <c r="H121" s="36"/>
      <c r="I121" s="37"/>
      <c r="J121" s="36"/>
      <c r="K121" s="36"/>
      <c r="L121" s="36"/>
      <c r="M121" s="37"/>
      <c r="N121" s="36"/>
      <c r="O121" s="36"/>
      <c r="P121" s="41"/>
      <c r="Q121" s="41"/>
      <c r="R121" s="41"/>
      <c r="S121" s="41"/>
      <c r="T121" s="41"/>
      <c r="U121" s="36"/>
      <c r="V121" s="36"/>
      <c r="W121" s="36"/>
      <c r="X121" s="42"/>
      <c r="Y121" s="41"/>
      <c r="Z121" s="41"/>
      <c r="AA121" s="41"/>
      <c r="AB121" s="41"/>
      <c r="AC121" s="41"/>
      <c r="AD121" s="36"/>
      <c r="AE121" s="36"/>
      <c r="AF121" s="36"/>
      <c r="AG121" s="44"/>
      <c r="AH121" s="41"/>
      <c r="AI121" s="41"/>
      <c r="AJ121" s="41"/>
      <c r="AK121" s="41"/>
      <c r="AL121" s="41"/>
      <c r="AM121" s="41"/>
      <c r="AN121" s="41"/>
      <c r="AO121" s="41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45"/>
      <c r="BB121" s="36"/>
      <c r="BC121" s="36"/>
      <c r="BD121" s="63"/>
      <c r="BE121" s="41"/>
      <c r="BF121" s="43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36"/>
      <c r="BU121" s="36"/>
      <c r="BV121" s="36"/>
      <c r="BW121" s="36"/>
      <c r="BX121" s="103"/>
      <c r="BY121" s="115"/>
      <c r="BZ121" s="116"/>
      <c r="CA121" s="36"/>
      <c r="CB121" s="36"/>
      <c r="CC121" s="36"/>
      <c r="CD121" s="36"/>
      <c r="CE121" s="36"/>
      <c r="CF121" s="36"/>
      <c r="CG121" s="36"/>
      <c r="CH121" s="36"/>
      <c r="CI121" s="36"/>
      <c r="CJ121" s="61"/>
      <c r="CK121" s="66"/>
      <c r="CL121" s="66"/>
      <c r="CM121" s="66"/>
      <c r="CN121" s="66"/>
      <c r="CO121" s="6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96">
        <f t="shared" si="13"/>
        <v>0</v>
      </c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</row>
    <row r="122" spans="1:125" s="48" customFormat="1" ht="16.5" customHeight="1" x14ac:dyDescent="0.3">
      <c r="A122" s="36"/>
      <c r="B122" s="36"/>
      <c r="C122" s="36"/>
      <c r="D122" s="36"/>
      <c r="E122" s="36"/>
      <c r="F122" s="36"/>
      <c r="G122" s="36"/>
      <c r="H122" s="36"/>
      <c r="I122" s="37"/>
      <c r="J122" s="36"/>
      <c r="K122" s="36"/>
      <c r="L122" s="36"/>
      <c r="M122" s="37"/>
      <c r="N122" s="36"/>
      <c r="O122" s="36"/>
      <c r="P122" s="41"/>
      <c r="Q122" s="41"/>
      <c r="R122" s="41"/>
      <c r="S122" s="41"/>
      <c r="T122" s="41"/>
      <c r="U122" s="36"/>
      <c r="V122" s="36"/>
      <c r="W122" s="36"/>
      <c r="X122" s="42"/>
      <c r="Y122" s="41"/>
      <c r="Z122" s="41"/>
      <c r="AA122" s="41"/>
      <c r="AB122" s="41"/>
      <c r="AC122" s="41"/>
      <c r="AD122" s="36"/>
      <c r="AE122" s="36"/>
      <c r="AF122" s="36"/>
      <c r="AG122" s="44"/>
      <c r="AH122" s="41"/>
      <c r="AI122" s="41"/>
      <c r="AJ122" s="41"/>
      <c r="AK122" s="41"/>
      <c r="AL122" s="41"/>
      <c r="AM122" s="41"/>
      <c r="AN122" s="41"/>
      <c r="AO122" s="41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45"/>
      <c r="BB122" s="36"/>
      <c r="BC122" s="36"/>
      <c r="BD122" s="63"/>
      <c r="BE122" s="41"/>
      <c r="BF122" s="43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36"/>
      <c r="BU122" s="36"/>
      <c r="BV122" s="36"/>
      <c r="BW122" s="36"/>
      <c r="BX122" s="103"/>
      <c r="BY122" s="115"/>
      <c r="BZ122" s="116"/>
      <c r="CA122" s="36"/>
      <c r="CB122" s="36"/>
      <c r="CC122" s="36"/>
      <c r="CD122" s="36"/>
      <c r="CE122" s="36"/>
      <c r="CF122" s="36"/>
      <c r="CG122" s="36"/>
      <c r="CH122" s="36"/>
      <c r="CI122" s="36"/>
      <c r="CJ122" s="61"/>
      <c r="CK122" s="66"/>
      <c r="CL122" s="66"/>
      <c r="CM122" s="66"/>
      <c r="CN122" s="66"/>
      <c r="CO122" s="6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96">
        <f t="shared" si="13"/>
        <v>0</v>
      </c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</row>
    <row r="123" spans="1:125" s="48" customFormat="1" ht="16.5" customHeight="1" x14ac:dyDescent="0.3">
      <c r="A123" s="36"/>
      <c r="B123" s="36"/>
      <c r="C123" s="36"/>
      <c r="D123" s="36"/>
      <c r="E123" s="36"/>
      <c r="F123" s="36"/>
      <c r="G123" s="36"/>
      <c r="H123" s="36"/>
      <c r="I123" s="37"/>
      <c r="J123" s="36"/>
      <c r="K123" s="36"/>
      <c r="L123" s="36"/>
      <c r="M123" s="37"/>
      <c r="N123" s="36"/>
      <c r="O123" s="36"/>
      <c r="P123" s="41"/>
      <c r="Q123" s="41"/>
      <c r="R123" s="41"/>
      <c r="S123" s="41"/>
      <c r="T123" s="41"/>
      <c r="U123" s="36"/>
      <c r="V123" s="36"/>
      <c r="W123" s="36"/>
      <c r="X123" s="42"/>
      <c r="Y123" s="41"/>
      <c r="Z123" s="41"/>
      <c r="AA123" s="41"/>
      <c r="AB123" s="41"/>
      <c r="AC123" s="41"/>
      <c r="AD123" s="36"/>
      <c r="AE123" s="36"/>
      <c r="AF123" s="36"/>
      <c r="AG123" s="44"/>
      <c r="AH123" s="41"/>
      <c r="AI123" s="41"/>
      <c r="AJ123" s="41"/>
      <c r="AK123" s="41"/>
      <c r="AL123" s="41"/>
      <c r="AM123" s="41"/>
      <c r="AN123" s="41"/>
      <c r="AO123" s="41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45"/>
      <c r="BB123" s="36"/>
      <c r="BC123" s="36"/>
      <c r="BD123" s="63"/>
      <c r="BE123" s="41"/>
      <c r="BF123" s="43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36"/>
      <c r="BU123" s="36"/>
      <c r="BV123" s="36"/>
      <c r="BW123" s="36"/>
      <c r="BX123" s="103"/>
      <c r="BY123" s="115"/>
      <c r="BZ123" s="116"/>
      <c r="CA123" s="36"/>
      <c r="CB123" s="36"/>
      <c r="CC123" s="36"/>
      <c r="CD123" s="36"/>
      <c r="CE123" s="36"/>
      <c r="CF123" s="36"/>
      <c r="CG123" s="36"/>
      <c r="CH123" s="36"/>
      <c r="CI123" s="36"/>
      <c r="CJ123" s="61"/>
      <c r="CK123" s="66"/>
      <c r="CL123" s="66"/>
      <c r="CM123" s="66"/>
      <c r="CN123" s="66"/>
      <c r="CO123" s="6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96">
        <f t="shared" si="13"/>
        <v>0</v>
      </c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</row>
    <row r="124" spans="1:125" s="48" customFormat="1" ht="16.5" customHeight="1" x14ac:dyDescent="0.3">
      <c r="A124" s="36"/>
      <c r="B124" s="36"/>
      <c r="C124" s="36"/>
      <c r="D124" s="36"/>
      <c r="E124" s="36"/>
      <c r="F124" s="36"/>
      <c r="G124" s="36"/>
      <c r="H124" s="36"/>
      <c r="I124" s="37"/>
      <c r="J124" s="36"/>
      <c r="K124" s="36"/>
      <c r="L124" s="36"/>
      <c r="M124" s="37"/>
      <c r="N124" s="36"/>
      <c r="O124" s="36"/>
      <c r="P124" s="41"/>
      <c r="Q124" s="41"/>
      <c r="R124" s="41"/>
      <c r="S124" s="41"/>
      <c r="T124" s="41"/>
      <c r="U124" s="36"/>
      <c r="V124" s="36"/>
      <c r="W124" s="36"/>
      <c r="X124" s="42"/>
      <c r="Y124" s="41"/>
      <c r="Z124" s="41"/>
      <c r="AA124" s="41"/>
      <c r="AB124" s="41"/>
      <c r="AC124" s="41"/>
      <c r="AD124" s="36"/>
      <c r="AE124" s="36"/>
      <c r="AF124" s="36"/>
      <c r="AG124" s="44"/>
      <c r="AH124" s="41"/>
      <c r="AI124" s="41"/>
      <c r="AJ124" s="41"/>
      <c r="AK124" s="41"/>
      <c r="AL124" s="41"/>
      <c r="AM124" s="41"/>
      <c r="AN124" s="41"/>
      <c r="AO124" s="41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45"/>
      <c r="BB124" s="36"/>
      <c r="BC124" s="36"/>
      <c r="BD124" s="63"/>
      <c r="BE124" s="41"/>
      <c r="BF124" s="43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36"/>
      <c r="BU124" s="36"/>
      <c r="BV124" s="36"/>
      <c r="BW124" s="36"/>
      <c r="BX124" s="103"/>
      <c r="BY124" s="115"/>
      <c r="BZ124" s="116"/>
      <c r="CA124" s="36"/>
      <c r="CB124" s="36"/>
      <c r="CC124" s="36"/>
      <c r="CD124" s="36"/>
      <c r="CE124" s="36"/>
      <c r="CF124" s="36"/>
      <c r="CG124" s="36"/>
      <c r="CH124" s="36"/>
      <c r="CI124" s="36"/>
      <c r="CJ124" s="61"/>
      <c r="CK124" s="66"/>
      <c r="CL124" s="66"/>
      <c r="CM124" s="66"/>
      <c r="CN124" s="66"/>
      <c r="CO124" s="6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96">
        <f t="shared" si="13"/>
        <v>0</v>
      </c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</row>
    <row r="125" spans="1:125" s="48" customFormat="1" ht="16.5" customHeight="1" x14ac:dyDescent="0.3">
      <c r="A125" s="36"/>
      <c r="B125" s="36"/>
      <c r="C125" s="36"/>
      <c r="D125" s="36"/>
      <c r="E125" s="36"/>
      <c r="F125" s="36"/>
      <c r="G125" s="36"/>
      <c r="H125" s="36"/>
      <c r="I125" s="37"/>
      <c r="J125" s="36"/>
      <c r="K125" s="36"/>
      <c r="L125" s="36"/>
      <c r="M125" s="37"/>
      <c r="N125" s="36"/>
      <c r="O125" s="36"/>
      <c r="P125" s="41"/>
      <c r="Q125" s="41"/>
      <c r="R125" s="41"/>
      <c r="S125" s="41"/>
      <c r="T125" s="41"/>
      <c r="U125" s="36"/>
      <c r="V125" s="36"/>
      <c r="W125" s="36"/>
      <c r="X125" s="42"/>
      <c r="Y125" s="41"/>
      <c r="Z125" s="41"/>
      <c r="AA125" s="41"/>
      <c r="AB125" s="41"/>
      <c r="AC125" s="41"/>
      <c r="AD125" s="36"/>
      <c r="AE125" s="36"/>
      <c r="AF125" s="36"/>
      <c r="AG125" s="44"/>
      <c r="AH125" s="41"/>
      <c r="AI125" s="41"/>
      <c r="AJ125" s="41"/>
      <c r="AK125" s="41"/>
      <c r="AL125" s="41"/>
      <c r="AM125" s="41"/>
      <c r="AN125" s="41"/>
      <c r="AO125" s="41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45"/>
      <c r="BB125" s="36"/>
      <c r="BC125" s="36"/>
      <c r="BD125" s="63"/>
      <c r="BE125" s="41"/>
      <c r="BF125" s="43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36"/>
      <c r="BU125" s="36"/>
      <c r="BV125" s="36"/>
      <c r="BW125" s="36"/>
      <c r="BX125" s="103"/>
      <c r="BY125" s="103"/>
      <c r="BZ125" s="116"/>
      <c r="CA125" s="36"/>
      <c r="CB125" s="36"/>
      <c r="CC125" s="36"/>
      <c r="CD125" s="36"/>
      <c r="CE125" s="36"/>
      <c r="CF125" s="36"/>
      <c r="CG125" s="36"/>
      <c r="CH125" s="36"/>
      <c r="CI125" s="36"/>
      <c r="CJ125" s="61"/>
      <c r="CK125" s="66"/>
      <c r="CL125" s="66"/>
      <c r="CM125" s="66"/>
      <c r="CN125" s="66"/>
      <c r="CO125" s="6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96">
        <f t="shared" si="13"/>
        <v>0</v>
      </c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</row>
    <row r="126" spans="1:125" s="48" customFormat="1" ht="16.5" customHeight="1" x14ac:dyDescent="0.3">
      <c r="A126" s="36"/>
      <c r="B126" s="36"/>
      <c r="C126" s="36"/>
      <c r="D126" s="36"/>
      <c r="E126" s="36"/>
      <c r="F126" s="36"/>
      <c r="G126" s="36"/>
      <c r="H126" s="36"/>
      <c r="I126" s="37"/>
      <c r="J126" s="36"/>
      <c r="K126" s="36"/>
      <c r="L126" s="36"/>
      <c r="M126" s="37"/>
      <c r="N126" s="36"/>
      <c r="O126" s="36"/>
      <c r="P126" s="41"/>
      <c r="Q126" s="41"/>
      <c r="R126" s="41"/>
      <c r="S126" s="41"/>
      <c r="T126" s="41"/>
      <c r="U126" s="36"/>
      <c r="V126" s="36"/>
      <c r="W126" s="36"/>
      <c r="X126" s="42"/>
      <c r="Y126" s="41"/>
      <c r="Z126" s="41"/>
      <c r="AA126" s="41"/>
      <c r="AB126" s="41"/>
      <c r="AC126" s="41"/>
      <c r="AD126" s="36"/>
      <c r="AE126" s="36"/>
      <c r="AF126" s="36"/>
      <c r="AG126" s="44"/>
      <c r="AH126" s="41"/>
      <c r="AI126" s="41"/>
      <c r="AJ126" s="41"/>
      <c r="AK126" s="41"/>
      <c r="AL126" s="41"/>
      <c r="AM126" s="41"/>
      <c r="AN126" s="41"/>
      <c r="AO126" s="41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45"/>
      <c r="BB126" s="36"/>
      <c r="BC126" s="36"/>
      <c r="BD126" s="63"/>
      <c r="BE126" s="41"/>
      <c r="BF126" s="43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36"/>
      <c r="BU126" s="36"/>
      <c r="BV126" s="36"/>
      <c r="BW126" s="36"/>
      <c r="BX126" s="103"/>
      <c r="BY126" s="103"/>
      <c r="BZ126" s="104"/>
      <c r="CA126" s="36"/>
      <c r="CB126" s="36"/>
      <c r="CC126" s="36"/>
      <c r="CD126" s="36"/>
      <c r="CE126" s="36"/>
      <c r="CF126" s="36"/>
      <c r="CG126" s="36"/>
      <c r="CH126" s="36"/>
      <c r="CI126" s="36"/>
      <c r="CJ126" s="61"/>
      <c r="CK126" s="66"/>
      <c r="CL126" s="66"/>
      <c r="CM126" s="66"/>
      <c r="CN126" s="66"/>
      <c r="CO126" s="6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96">
        <f t="shared" si="13"/>
        <v>0</v>
      </c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</row>
    <row r="127" spans="1:125" s="48" customFormat="1" ht="16.5" customHeight="1" x14ac:dyDescent="0.3">
      <c r="A127" s="36"/>
      <c r="B127" s="36"/>
      <c r="C127" s="36"/>
      <c r="D127" s="36"/>
      <c r="E127" s="36"/>
      <c r="F127" s="36"/>
      <c r="G127" s="36"/>
      <c r="H127" s="36"/>
      <c r="I127" s="37"/>
      <c r="J127" s="36"/>
      <c r="K127" s="36"/>
      <c r="L127" s="36"/>
      <c r="M127" s="37"/>
      <c r="N127" s="36"/>
      <c r="O127" s="36"/>
      <c r="P127" s="41"/>
      <c r="Q127" s="41"/>
      <c r="R127" s="41"/>
      <c r="S127" s="41"/>
      <c r="T127" s="41"/>
      <c r="U127" s="36"/>
      <c r="V127" s="36"/>
      <c r="W127" s="36"/>
      <c r="X127" s="42"/>
      <c r="Y127" s="41"/>
      <c r="Z127" s="41"/>
      <c r="AA127" s="41"/>
      <c r="AB127" s="41"/>
      <c r="AC127" s="41"/>
      <c r="AD127" s="36"/>
      <c r="AE127" s="36"/>
      <c r="AF127" s="36"/>
      <c r="AG127" s="44"/>
      <c r="AH127" s="41"/>
      <c r="AI127" s="41"/>
      <c r="AJ127" s="41"/>
      <c r="AK127" s="41"/>
      <c r="AL127" s="41"/>
      <c r="AM127" s="41"/>
      <c r="AN127" s="41"/>
      <c r="AO127" s="41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45"/>
      <c r="BB127" s="36"/>
      <c r="BC127" s="36"/>
      <c r="BD127" s="63"/>
      <c r="BE127" s="41"/>
      <c r="BF127" s="43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36"/>
      <c r="BU127" s="36"/>
      <c r="BV127" s="36"/>
      <c r="BW127" s="36"/>
      <c r="BX127" s="103"/>
      <c r="BY127" s="103"/>
      <c r="BZ127" s="104"/>
      <c r="CA127" s="36"/>
      <c r="CB127" s="36"/>
      <c r="CC127" s="36"/>
      <c r="CD127" s="36"/>
      <c r="CE127" s="36"/>
      <c r="CF127" s="36"/>
      <c r="CG127" s="36"/>
      <c r="CH127" s="36"/>
      <c r="CI127" s="36"/>
      <c r="CJ127" s="61"/>
      <c r="CK127" s="66"/>
      <c r="CL127" s="66"/>
      <c r="CM127" s="66"/>
      <c r="CN127" s="66"/>
      <c r="CO127" s="6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96">
        <f t="shared" si="13"/>
        <v>0</v>
      </c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</row>
    <row r="128" spans="1:125" s="48" customFormat="1" ht="16.5" customHeight="1" x14ac:dyDescent="0.3">
      <c r="A128" s="36"/>
      <c r="B128" s="36"/>
      <c r="C128" s="36"/>
      <c r="D128" s="36"/>
      <c r="E128" s="36"/>
      <c r="F128" s="36"/>
      <c r="G128" s="36"/>
      <c r="H128" s="36"/>
      <c r="I128" s="37"/>
      <c r="J128" s="36"/>
      <c r="K128" s="36"/>
      <c r="L128" s="36"/>
      <c r="M128" s="37"/>
      <c r="N128" s="36"/>
      <c r="O128" s="36"/>
      <c r="P128" s="41"/>
      <c r="Q128" s="41"/>
      <c r="R128" s="41"/>
      <c r="S128" s="41"/>
      <c r="T128" s="41"/>
      <c r="U128" s="36"/>
      <c r="V128" s="36"/>
      <c r="W128" s="36"/>
      <c r="X128" s="42"/>
      <c r="Y128" s="41"/>
      <c r="Z128" s="41"/>
      <c r="AA128" s="41"/>
      <c r="AB128" s="41"/>
      <c r="AC128" s="41"/>
      <c r="AD128" s="36"/>
      <c r="AE128" s="36"/>
      <c r="AF128" s="36"/>
      <c r="AG128" s="44"/>
      <c r="AH128" s="41"/>
      <c r="AI128" s="41"/>
      <c r="AJ128" s="41"/>
      <c r="AK128" s="41"/>
      <c r="AL128" s="41"/>
      <c r="AM128" s="41"/>
      <c r="AN128" s="41"/>
      <c r="AO128" s="41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45"/>
      <c r="BB128" s="36"/>
      <c r="BC128" s="36"/>
      <c r="BD128" s="63"/>
      <c r="BE128" s="41"/>
      <c r="BF128" s="43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36"/>
      <c r="BU128" s="36"/>
      <c r="BV128" s="36"/>
      <c r="BW128" s="36"/>
      <c r="BX128" s="103"/>
      <c r="BY128" s="103"/>
      <c r="BZ128" s="104"/>
      <c r="CA128" s="36"/>
      <c r="CB128" s="36"/>
      <c r="CC128" s="36"/>
      <c r="CD128" s="36"/>
      <c r="CE128" s="36"/>
      <c r="CF128" s="36"/>
      <c r="CG128" s="36"/>
      <c r="CH128" s="36"/>
      <c r="CI128" s="36"/>
      <c r="CJ128" s="61"/>
      <c r="CK128" s="66"/>
      <c r="CL128" s="66"/>
      <c r="CM128" s="66"/>
      <c r="CN128" s="66"/>
      <c r="CO128" s="6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96">
        <f t="shared" si="13"/>
        <v>0</v>
      </c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</row>
    <row r="129" spans="1:125" s="48" customFormat="1" ht="16.5" customHeight="1" x14ac:dyDescent="0.3">
      <c r="A129" s="36"/>
      <c r="B129" s="36"/>
      <c r="C129" s="36"/>
      <c r="D129" s="36"/>
      <c r="E129" s="36"/>
      <c r="F129" s="36"/>
      <c r="G129" s="36"/>
      <c r="H129" s="36"/>
      <c r="I129" s="37"/>
      <c r="J129" s="36"/>
      <c r="K129" s="36"/>
      <c r="L129" s="36"/>
      <c r="M129" s="37"/>
      <c r="N129" s="36"/>
      <c r="O129" s="36"/>
      <c r="P129" s="41"/>
      <c r="Q129" s="41"/>
      <c r="R129" s="41"/>
      <c r="S129" s="41"/>
      <c r="T129" s="41"/>
      <c r="U129" s="36"/>
      <c r="V129" s="36"/>
      <c r="W129" s="36"/>
      <c r="X129" s="42"/>
      <c r="Y129" s="41"/>
      <c r="Z129" s="41"/>
      <c r="AA129" s="41"/>
      <c r="AB129" s="41"/>
      <c r="AC129" s="41"/>
      <c r="AD129" s="36"/>
      <c r="AE129" s="36"/>
      <c r="AF129" s="36"/>
      <c r="AG129" s="44"/>
      <c r="AH129" s="41"/>
      <c r="AI129" s="41"/>
      <c r="AJ129" s="41"/>
      <c r="AK129" s="41"/>
      <c r="AL129" s="41"/>
      <c r="AM129" s="41"/>
      <c r="AN129" s="41"/>
      <c r="AO129" s="41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45"/>
      <c r="BB129" s="36"/>
      <c r="BC129" s="36"/>
      <c r="BD129" s="63"/>
      <c r="BE129" s="41"/>
      <c r="BF129" s="43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36"/>
      <c r="BU129" s="36"/>
      <c r="BV129" s="36"/>
      <c r="BW129" s="36"/>
      <c r="BX129" s="103"/>
      <c r="BY129" s="103"/>
      <c r="BZ129" s="104"/>
      <c r="CA129" s="36"/>
      <c r="CB129" s="36"/>
      <c r="CC129" s="36"/>
      <c r="CD129" s="36"/>
      <c r="CE129" s="36"/>
      <c r="CF129" s="36"/>
      <c r="CG129" s="36"/>
      <c r="CH129" s="36"/>
      <c r="CI129" s="36"/>
      <c r="CJ129" s="61"/>
      <c r="CK129" s="66"/>
      <c r="CL129" s="66"/>
      <c r="CM129" s="66"/>
      <c r="CN129" s="66"/>
      <c r="CO129" s="6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96">
        <f t="shared" si="13"/>
        <v>0</v>
      </c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</row>
    <row r="130" spans="1:125" s="48" customFormat="1" ht="16.5" customHeight="1" x14ac:dyDescent="0.3">
      <c r="A130" s="36"/>
      <c r="B130" s="36"/>
      <c r="C130" s="36"/>
      <c r="D130" s="36"/>
      <c r="E130" s="36"/>
      <c r="F130" s="36"/>
      <c r="G130" s="36"/>
      <c r="H130" s="36"/>
      <c r="I130" s="37"/>
      <c r="J130" s="36"/>
      <c r="K130" s="36"/>
      <c r="L130" s="36"/>
      <c r="M130" s="37"/>
      <c r="N130" s="36"/>
      <c r="O130" s="36"/>
      <c r="P130" s="41"/>
      <c r="Q130" s="41"/>
      <c r="R130" s="41"/>
      <c r="S130" s="41"/>
      <c r="T130" s="41"/>
      <c r="U130" s="36"/>
      <c r="V130" s="36"/>
      <c r="W130" s="36"/>
      <c r="X130" s="42"/>
      <c r="Y130" s="41"/>
      <c r="Z130" s="41"/>
      <c r="AA130" s="41"/>
      <c r="AB130" s="41"/>
      <c r="AC130" s="41"/>
      <c r="AD130" s="36"/>
      <c r="AE130" s="36"/>
      <c r="AF130" s="36"/>
      <c r="AG130" s="44"/>
      <c r="AH130" s="41"/>
      <c r="AI130" s="41"/>
      <c r="AJ130" s="41"/>
      <c r="AK130" s="41"/>
      <c r="AL130" s="41"/>
      <c r="AM130" s="41"/>
      <c r="AN130" s="41"/>
      <c r="AO130" s="41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45"/>
      <c r="BB130" s="36"/>
      <c r="BC130" s="36"/>
      <c r="BD130" s="63"/>
      <c r="BE130" s="41"/>
      <c r="BF130" s="43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36"/>
      <c r="BU130" s="36"/>
      <c r="BV130" s="36"/>
      <c r="BW130" s="36"/>
      <c r="BX130" s="103"/>
      <c r="BY130" s="103"/>
      <c r="BZ130" s="104"/>
      <c r="CA130" s="36"/>
      <c r="CB130" s="36"/>
      <c r="CC130" s="36"/>
      <c r="CD130" s="36"/>
      <c r="CE130" s="36"/>
      <c r="CF130" s="36"/>
      <c r="CG130" s="36"/>
      <c r="CH130" s="36"/>
      <c r="CI130" s="36"/>
      <c r="CJ130" s="61"/>
      <c r="CK130" s="66"/>
      <c r="CL130" s="66"/>
      <c r="CM130" s="66"/>
      <c r="CN130" s="66"/>
      <c r="CO130" s="6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96">
        <f t="shared" si="13"/>
        <v>0</v>
      </c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</row>
    <row r="131" spans="1:125" s="48" customFormat="1" ht="16.5" customHeight="1" x14ac:dyDescent="0.3">
      <c r="A131" s="36"/>
      <c r="B131" s="36"/>
      <c r="C131" s="36"/>
      <c r="D131" s="36"/>
      <c r="E131" s="36"/>
      <c r="F131" s="36"/>
      <c r="G131" s="36"/>
      <c r="H131" s="36"/>
      <c r="I131" s="37"/>
      <c r="J131" s="36"/>
      <c r="K131" s="36"/>
      <c r="L131" s="36"/>
      <c r="M131" s="37"/>
      <c r="N131" s="36"/>
      <c r="O131" s="36"/>
      <c r="P131" s="41"/>
      <c r="Q131" s="41"/>
      <c r="R131" s="41"/>
      <c r="S131" s="41"/>
      <c r="T131" s="41"/>
      <c r="U131" s="36"/>
      <c r="V131" s="36"/>
      <c r="W131" s="36"/>
      <c r="X131" s="42"/>
      <c r="Y131" s="41"/>
      <c r="Z131" s="41"/>
      <c r="AA131" s="41"/>
      <c r="AB131" s="41"/>
      <c r="AC131" s="41"/>
      <c r="AD131" s="36"/>
      <c r="AE131" s="36"/>
      <c r="AF131" s="36"/>
      <c r="AG131" s="44"/>
      <c r="AH131" s="41"/>
      <c r="AI131" s="41"/>
      <c r="AJ131" s="41"/>
      <c r="AK131" s="41"/>
      <c r="AL131" s="41"/>
      <c r="AM131" s="41"/>
      <c r="AN131" s="41"/>
      <c r="AO131" s="41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45"/>
      <c r="BB131" s="36"/>
      <c r="BC131" s="36"/>
      <c r="BD131" s="63"/>
      <c r="BE131" s="41"/>
      <c r="BF131" s="43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36"/>
      <c r="BU131" s="36"/>
      <c r="BV131" s="36"/>
      <c r="BW131" s="36"/>
      <c r="BX131" s="103"/>
      <c r="BY131" s="103"/>
      <c r="BZ131" s="104"/>
      <c r="CA131" s="36"/>
      <c r="CB131" s="36"/>
      <c r="CC131" s="36"/>
      <c r="CD131" s="36"/>
      <c r="CE131" s="36"/>
      <c r="CF131" s="36"/>
      <c r="CG131" s="36"/>
      <c r="CH131" s="36"/>
      <c r="CI131" s="36"/>
      <c r="CJ131" s="61"/>
      <c r="CK131" s="66"/>
      <c r="CL131" s="66"/>
      <c r="CM131" s="66"/>
      <c r="CN131" s="66"/>
      <c r="CO131" s="6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96">
        <f t="shared" si="13"/>
        <v>0</v>
      </c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</row>
    <row r="132" spans="1:125" s="48" customFormat="1" ht="16.5" customHeight="1" x14ac:dyDescent="0.3">
      <c r="A132" s="36"/>
      <c r="B132" s="36"/>
      <c r="C132" s="36"/>
      <c r="D132" s="36"/>
      <c r="E132" s="36"/>
      <c r="F132" s="36"/>
      <c r="G132" s="36"/>
      <c r="H132" s="36"/>
      <c r="I132" s="37"/>
      <c r="J132" s="36"/>
      <c r="K132" s="36"/>
      <c r="L132" s="36"/>
      <c r="M132" s="37"/>
      <c r="N132" s="36"/>
      <c r="O132" s="36"/>
      <c r="P132" s="41"/>
      <c r="Q132" s="41"/>
      <c r="R132" s="41"/>
      <c r="S132" s="41"/>
      <c r="T132" s="41"/>
      <c r="U132" s="36"/>
      <c r="V132" s="36"/>
      <c r="W132" s="36"/>
      <c r="X132" s="42"/>
      <c r="Y132" s="41"/>
      <c r="Z132" s="41"/>
      <c r="AA132" s="41"/>
      <c r="AB132" s="41"/>
      <c r="AC132" s="41"/>
      <c r="AD132" s="36"/>
      <c r="AE132" s="36"/>
      <c r="AF132" s="36"/>
      <c r="AG132" s="44"/>
      <c r="AH132" s="41"/>
      <c r="AI132" s="41"/>
      <c r="AJ132" s="41"/>
      <c r="AK132" s="41"/>
      <c r="AL132" s="41"/>
      <c r="AM132" s="41"/>
      <c r="AN132" s="41"/>
      <c r="AO132" s="41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45"/>
      <c r="BB132" s="36"/>
      <c r="BC132" s="36"/>
      <c r="BD132" s="63"/>
      <c r="BE132" s="41"/>
      <c r="BF132" s="43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36"/>
      <c r="BU132" s="36"/>
      <c r="BV132" s="36"/>
      <c r="BW132" s="36"/>
      <c r="BX132" s="103"/>
      <c r="BY132" s="103"/>
      <c r="BZ132" s="104"/>
      <c r="CA132" s="36"/>
      <c r="CB132" s="36"/>
      <c r="CC132" s="36"/>
      <c r="CD132" s="36"/>
      <c r="CE132" s="36"/>
      <c r="CF132" s="36"/>
      <c r="CG132" s="36"/>
      <c r="CH132" s="36"/>
      <c r="CI132" s="36"/>
      <c r="CJ132" s="61"/>
      <c r="CK132" s="66"/>
      <c r="CL132" s="66"/>
      <c r="CM132" s="66"/>
      <c r="CN132" s="66"/>
      <c r="CO132" s="6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96">
        <f t="shared" si="13"/>
        <v>0</v>
      </c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</row>
    <row r="133" spans="1:125" s="48" customFormat="1" ht="16.5" customHeight="1" x14ac:dyDescent="0.3">
      <c r="A133" s="36"/>
      <c r="B133" s="36"/>
      <c r="C133" s="36"/>
      <c r="D133" s="36"/>
      <c r="E133" s="36"/>
      <c r="F133" s="36"/>
      <c r="G133" s="36"/>
      <c r="H133" s="36"/>
      <c r="I133" s="37"/>
      <c r="J133" s="36"/>
      <c r="K133" s="36"/>
      <c r="L133" s="36"/>
      <c r="M133" s="37"/>
      <c r="N133" s="36"/>
      <c r="O133" s="36"/>
      <c r="P133" s="41"/>
      <c r="Q133" s="41"/>
      <c r="R133" s="41"/>
      <c r="S133" s="41"/>
      <c r="T133" s="41"/>
      <c r="U133" s="36"/>
      <c r="V133" s="36"/>
      <c r="W133" s="36"/>
      <c r="X133" s="42"/>
      <c r="Y133" s="41"/>
      <c r="Z133" s="41"/>
      <c r="AA133" s="41"/>
      <c r="AB133" s="41"/>
      <c r="AC133" s="41"/>
      <c r="AD133" s="36"/>
      <c r="AE133" s="36"/>
      <c r="AF133" s="36"/>
      <c r="AG133" s="44"/>
      <c r="AH133" s="41"/>
      <c r="AI133" s="41"/>
      <c r="AJ133" s="41"/>
      <c r="AK133" s="41"/>
      <c r="AL133" s="41"/>
      <c r="AM133" s="41"/>
      <c r="AN133" s="41"/>
      <c r="AO133" s="41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45"/>
      <c r="BB133" s="36"/>
      <c r="BC133" s="36"/>
      <c r="BD133" s="63"/>
      <c r="BE133" s="41"/>
      <c r="BF133" s="43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36"/>
      <c r="BU133" s="36"/>
      <c r="BV133" s="36"/>
      <c r="BW133" s="36"/>
      <c r="BX133" s="103"/>
      <c r="BY133" s="103"/>
      <c r="BZ133" s="104"/>
      <c r="CA133" s="36"/>
      <c r="CB133" s="36"/>
      <c r="CC133" s="36"/>
      <c r="CD133" s="36"/>
      <c r="CE133" s="36"/>
      <c r="CF133" s="36"/>
      <c r="CG133" s="36"/>
      <c r="CH133" s="36"/>
      <c r="CI133" s="36"/>
      <c r="CJ133" s="61"/>
      <c r="CK133" s="66"/>
      <c r="CL133" s="66"/>
      <c r="CM133" s="66"/>
      <c r="CN133" s="66"/>
      <c r="CO133" s="6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96">
        <f t="shared" si="13"/>
        <v>0</v>
      </c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</row>
    <row r="134" spans="1:125" s="48" customFormat="1" ht="16.5" customHeight="1" x14ac:dyDescent="0.3">
      <c r="A134" s="36"/>
      <c r="B134" s="36"/>
      <c r="C134" s="36"/>
      <c r="D134" s="36"/>
      <c r="E134" s="36"/>
      <c r="F134" s="36"/>
      <c r="G134" s="36"/>
      <c r="H134" s="36"/>
      <c r="I134" s="37"/>
      <c r="J134" s="36"/>
      <c r="K134" s="36"/>
      <c r="L134" s="36"/>
      <c r="M134" s="37"/>
      <c r="N134" s="36"/>
      <c r="O134" s="36"/>
      <c r="P134" s="41"/>
      <c r="Q134" s="41"/>
      <c r="R134" s="41"/>
      <c r="S134" s="41"/>
      <c r="T134" s="41"/>
      <c r="U134" s="36"/>
      <c r="V134" s="36"/>
      <c r="W134" s="36"/>
      <c r="X134" s="42"/>
      <c r="Y134" s="41"/>
      <c r="Z134" s="41"/>
      <c r="AA134" s="41"/>
      <c r="AB134" s="41"/>
      <c r="AC134" s="41"/>
      <c r="AD134" s="36"/>
      <c r="AE134" s="36"/>
      <c r="AF134" s="36"/>
      <c r="AG134" s="44"/>
      <c r="AH134" s="41"/>
      <c r="AI134" s="41"/>
      <c r="AJ134" s="41"/>
      <c r="AK134" s="41"/>
      <c r="AL134" s="41"/>
      <c r="AM134" s="41"/>
      <c r="AN134" s="41"/>
      <c r="AO134" s="41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45"/>
      <c r="BB134" s="36"/>
      <c r="BC134" s="36"/>
      <c r="BD134" s="63"/>
      <c r="BE134" s="41"/>
      <c r="BF134" s="43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36"/>
      <c r="BU134" s="36"/>
      <c r="BV134" s="36"/>
      <c r="BW134" s="36"/>
      <c r="BX134" s="103"/>
      <c r="BY134" s="36"/>
      <c r="BZ134" s="104"/>
      <c r="CA134" s="36"/>
      <c r="CB134" s="36"/>
      <c r="CC134" s="36"/>
      <c r="CD134" s="36"/>
      <c r="CE134" s="36"/>
      <c r="CF134" s="36"/>
      <c r="CG134" s="36"/>
      <c r="CH134" s="36"/>
      <c r="CI134" s="36"/>
      <c r="CJ134" s="61"/>
      <c r="CK134" s="66"/>
      <c r="CL134" s="66"/>
      <c r="CM134" s="66"/>
      <c r="CN134" s="66"/>
      <c r="CO134" s="6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96" t="e">
        <f>((A138-#REF!)+(K134-G134))*17*DI134/1000</f>
        <v>#REF!</v>
      </c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</row>
    <row r="135" spans="1:125" s="48" customFormat="1" ht="16.5" customHeight="1" x14ac:dyDescent="0.3">
      <c r="A135" s="36"/>
      <c r="B135" s="36"/>
      <c r="C135" s="36"/>
      <c r="D135" s="36"/>
      <c r="E135" s="36"/>
      <c r="F135" s="36"/>
      <c r="G135" s="36"/>
      <c r="H135" s="36"/>
      <c r="I135" s="37"/>
      <c r="J135" s="36"/>
      <c r="K135" s="36"/>
      <c r="L135" s="36"/>
      <c r="M135" s="37"/>
      <c r="N135" s="36"/>
      <c r="O135" s="36"/>
      <c r="P135" s="41"/>
      <c r="Q135" s="41"/>
      <c r="R135" s="41"/>
      <c r="S135" s="41"/>
      <c r="T135" s="41"/>
      <c r="U135" s="36"/>
      <c r="V135" s="36"/>
      <c r="W135" s="36"/>
      <c r="X135" s="42"/>
      <c r="Y135" s="40"/>
      <c r="Z135" s="41"/>
      <c r="AA135" s="41"/>
      <c r="AB135" s="41"/>
      <c r="AC135" s="41"/>
      <c r="AD135" s="41"/>
      <c r="AE135" s="36"/>
      <c r="AF135" s="36"/>
      <c r="AG135" s="36"/>
      <c r="AH135" s="42"/>
      <c r="AI135" s="43"/>
      <c r="AJ135" s="44"/>
      <c r="AK135" s="41"/>
      <c r="AL135" s="41"/>
      <c r="AM135" s="41"/>
      <c r="AN135" s="41"/>
      <c r="AO135" s="41"/>
      <c r="AP135" s="41"/>
      <c r="AQ135" s="41"/>
      <c r="AR135" s="41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45"/>
      <c r="BE135" s="41"/>
      <c r="BF135" s="41"/>
      <c r="BG135" s="63"/>
      <c r="BH135" s="41"/>
      <c r="BI135" s="43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36"/>
      <c r="BY135" s="41"/>
      <c r="BZ135" s="36"/>
      <c r="CA135" s="36"/>
      <c r="CB135" s="103"/>
      <c r="CC135" s="36"/>
      <c r="CD135" s="183"/>
      <c r="CE135" s="184"/>
      <c r="CF135" s="36"/>
      <c r="CG135" s="36"/>
      <c r="CH135" s="36"/>
      <c r="CI135" s="36"/>
      <c r="CJ135" s="36"/>
      <c r="CK135" s="36"/>
      <c r="CL135" s="36"/>
      <c r="CM135" s="36"/>
      <c r="CN135" s="61"/>
      <c r="CO135" s="41"/>
      <c r="CP135" s="66"/>
      <c r="CQ135" s="66"/>
      <c r="CR135" s="66"/>
      <c r="CS135" s="66"/>
      <c r="CT135" s="6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61"/>
      <c r="DL135" s="56">
        <f>BD135-DM135</f>
        <v>0</v>
      </c>
      <c r="DM135" s="57">
        <f>(BC135*BD135)*2</f>
        <v>0</v>
      </c>
      <c r="DN135" s="57"/>
      <c r="DO135" s="41"/>
      <c r="DP135" s="41"/>
      <c r="DQ135" s="41"/>
      <c r="DR135" s="41"/>
      <c r="DS135" s="41"/>
      <c r="DT135" s="41"/>
      <c r="DU135" s="41"/>
    </row>
    <row r="136" spans="1:125" s="48" customFormat="1" ht="16.5" customHeight="1" x14ac:dyDescent="0.3">
      <c r="A136" s="36"/>
      <c r="B136" s="35"/>
      <c r="C136" s="36"/>
      <c r="D136" s="36"/>
      <c r="E136" s="36"/>
      <c r="F136" s="36"/>
      <c r="G136" s="36"/>
      <c r="H136" s="36"/>
      <c r="I136" s="36"/>
      <c r="J136" s="36"/>
      <c r="K136" s="37"/>
      <c r="L136" s="37"/>
      <c r="M136" s="36"/>
      <c r="N136" s="36"/>
      <c r="O136" s="36"/>
      <c r="P136" s="37"/>
      <c r="Q136" s="36"/>
      <c r="R136" s="36"/>
      <c r="S136" s="39"/>
      <c r="T136" s="39"/>
      <c r="U136" s="41"/>
      <c r="V136" s="41"/>
      <c r="W136" s="41"/>
      <c r="X136" s="41"/>
      <c r="Y136" s="41"/>
      <c r="Z136" s="36"/>
      <c r="AA136" s="36"/>
      <c r="AB136" s="36"/>
      <c r="AC136" s="42"/>
      <c r="AD136" s="40"/>
      <c r="AE136" s="41"/>
      <c r="AF136" s="41"/>
      <c r="AG136" s="41"/>
      <c r="AH136" s="41"/>
      <c r="AI136" s="41"/>
      <c r="AJ136" s="36"/>
      <c r="AK136" s="36"/>
      <c r="AL136" s="36"/>
      <c r="AM136" s="42"/>
      <c r="AN136" s="43"/>
      <c r="AO136" s="44"/>
      <c r="AP136" s="41"/>
      <c r="AQ136" s="41"/>
      <c r="AR136" s="41"/>
      <c r="AS136" s="41"/>
      <c r="AT136" s="41"/>
      <c r="AU136" s="41"/>
      <c r="AV136" s="41"/>
      <c r="AW136" s="36"/>
      <c r="AX136" s="36"/>
      <c r="AY136" s="36"/>
      <c r="AZ136" s="36"/>
      <c r="BA136" s="36"/>
      <c r="BB136" s="36"/>
      <c r="BC136" s="36"/>
      <c r="BD136" s="36"/>
      <c r="BE136" s="41"/>
      <c r="BF136" s="41"/>
      <c r="BG136" s="41"/>
      <c r="BH136" s="41"/>
      <c r="BI136" s="42"/>
      <c r="BJ136" s="41"/>
      <c r="BK136" s="41"/>
      <c r="BL136" s="63"/>
      <c r="BM136" s="41"/>
      <c r="BN136" s="43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36"/>
      <c r="CC136" s="36"/>
      <c r="CD136" s="36"/>
      <c r="CE136" s="36"/>
      <c r="CF136" s="41"/>
      <c r="CG136" s="238"/>
      <c r="CH136" s="239"/>
      <c r="CI136" s="36"/>
      <c r="CJ136" s="36"/>
      <c r="CK136" s="36"/>
      <c r="CL136" s="36"/>
      <c r="CM136" s="36"/>
      <c r="CN136" s="36"/>
      <c r="CO136" s="36"/>
      <c r="CP136" s="36"/>
      <c r="CQ136" s="61"/>
      <c r="CR136" s="41"/>
      <c r="CS136" s="66"/>
      <c r="CT136" s="66"/>
      <c r="CU136" s="66"/>
      <c r="CV136" s="66"/>
      <c r="CW136" s="6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61"/>
      <c r="DL136" s="56"/>
      <c r="DM136" s="57"/>
      <c r="DN136" s="41"/>
      <c r="DO136" s="56"/>
      <c r="DP136" s="57"/>
      <c r="DQ136" s="57"/>
      <c r="DR136" s="41"/>
      <c r="DS136" s="41"/>
      <c r="DT136" s="41"/>
      <c r="DU136" s="41"/>
    </row>
    <row r="137" spans="1:125" s="48" customFormat="1" ht="16.5" customHeight="1" x14ac:dyDescent="0.3">
      <c r="A137" s="36"/>
      <c r="B137" s="35"/>
      <c r="C137" s="36"/>
      <c r="D137" s="36"/>
      <c r="E137" s="36"/>
      <c r="F137" s="36"/>
      <c r="G137" s="36"/>
      <c r="H137" s="36"/>
      <c r="I137" s="36"/>
      <c r="J137" s="36"/>
      <c r="K137" s="37"/>
      <c r="L137" s="37"/>
      <c r="M137" s="36"/>
      <c r="N137" s="36"/>
      <c r="O137" s="36"/>
      <c r="P137" s="37"/>
      <c r="Q137" s="36"/>
      <c r="R137" s="36"/>
      <c r="S137" s="39"/>
      <c r="T137" s="39"/>
      <c r="U137" s="41"/>
      <c r="V137" s="41"/>
      <c r="W137" s="41"/>
      <c r="X137" s="41"/>
      <c r="Y137" s="41"/>
      <c r="Z137" s="36"/>
      <c r="AA137" s="36"/>
      <c r="AB137" s="36"/>
      <c r="AC137" s="42"/>
      <c r="AD137" s="40"/>
      <c r="AE137" s="41"/>
      <c r="AF137" s="41"/>
      <c r="AG137" s="41"/>
      <c r="AH137" s="41"/>
      <c r="AI137" s="41"/>
      <c r="AJ137" s="36"/>
      <c r="AK137" s="36"/>
      <c r="AL137" s="36"/>
      <c r="AM137" s="42"/>
      <c r="AN137" s="43"/>
      <c r="AO137" s="44"/>
      <c r="AP137" s="41"/>
      <c r="AQ137" s="41"/>
      <c r="AR137" s="41"/>
      <c r="AS137" s="41"/>
      <c r="AT137" s="41"/>
      <c r="AU137" s="41"/>
      <c r="AV137" s="41"/>
      <c r="AW137" s="36"/>
      <c r="AX137" s="36"/>
      <c r="AY137" s="36"/>
      <c r="AZ137" s="36"/>
      <c r="BA137" s="36"/>
      <c r="BB137" s="36"/>
      <c r="BC137" s="36"/>
      <c r="BD137" s="36"/>
      <c r="BE137" s="41"/>
      <c r="BF137" s="41"/>
      <c r="BG137" s="41"/>
      <c r="BH137" s="41"/>
      <c r="BI137" s="42"/>
      <c r="BJ137" s="41"/>
      <c r="BK137" s="41"/>
      <c r="BL137" s="63"/>
      <c r="BM137" s="41"/>
      <c r="BN137" s="43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36"/>
      <c r="CC137" s="36"/>
      <c r="CD137" s="36"/>
      <c r="CE137" s="36"/>
      <c r="CF137" s="103"/>
      <c r="CG137" s="238"/>
      <c r="CH137" s="239"/>
      <c r="CI137" s="36"/>
      <c r="CJ137" s="36"/>
      <c r="CK137" s="36"/>
      <c r="CL137" s="36"/>
      <c r="CM137" s="36"/>
      <c r="CN137" s="36"/>
      <c r="CO137" s="36"/>
      <c r="CP137" s="36"/>
      <c r="CQ137" s="61"/>
      <c r="CR137" s="41"/>
      <c r="CS137" s="66"/>
      <c r="CT137" s="66"/>
      <c r="CU137" s="66"/>
      <c r="CV137" s="66"/>
      <c r="CW137" s="6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61"/>
      <c r="DL137" s="56"/>
      <c r="DM137" s="57"/>
      <c r="DN137" s="41"/>
      <c r="DO137" s="56"/>
      <c r="DP137" s="57"/>
      <c r="DQ137" s="57"/>
      <c r="DR137" s="41"/>
      <c r="DS137" s="41"/>
      <c r="DT137" s="41"/>
      <c r="DU137" s="41"/>
    </row>
    <row r="138" spans="1:125" s="48" customFormat="1" ht="16.5" customHeight="1" x14ac:dyDescent="0.3">
      <c r="A138" s="36"/>
      <c r="B138" s="35"/>
      <c r="C138" s="36"/>
      <c r="D138" s="36"/>
      <c r="E138" s="36"/>
      <c r="F138" s="36"/>
      <c r="G138" s="36"/>
      <c r="H138" s="36"/>
      <c r="I138" s="36"/>
      <c r="J138" s="36"/>
      <c r="K138" s="37"/>
      <c r="L138" s="37"/>
      <c r="M138" s="36"/>
      <c r="N138" s="36"/>
      <c r="O138" s="36"/>
      <c r="P138" s="37"/>
      <c r="Q138" s="36"/>
      <c r="R138" s="36"/>
      <c r="S138" s="39"/>
      <c r="T138" s="39"/>
      <c r="U138" s="41"/>
      <c r="V138" s="41"/>
      <c r="W138" s="41"/>
      <c r="X138" s="41"/>
      <c r="Y138" s="41"/>
      <c r="Z138" s="36"/>
      <c r="AA138" s="36"/>
      <c r="AB138" s="36"/>
      <c r="AC138" s="42"/>
      <c r="AD138" s="40"/>
      <c r="AE138" s="41"/>
      <c r="AF138" s="41"/>
      <c r="AG138" s="41"/>
      <c r="AH138" s="41"/>
      <c r="AI138" s="41"/>
      <c r="AJ138" s="36"/>
      <c r="AK138" s="36"/>
      <c r="AL138" s="36"/>
      <c r="AM138" s="42"/>
      <c r="AN138" s="43"/>
      <c r="AO138" s="44"/>
      <c r="AP138" s="41"/>
      <c r="AQ138" s="41"/>
      <c r="AR138" s="41"/>
      <c r="AS138" s="41"/>
      <c r="AT138" s="41"/>
      <c r="AU138" s="41"/>
      <c r="AV138" s="41"/>
      <c r="AW138" s="36"/>
      <c r="AX138" s="36"/>
      <c r="AY138" s="36"/>
      <c r="AZ138" s="36"/>
      <c r="BA138" s="36"/>
      <c r="BB138" s="36"/>
      <c r="BC138" s="36"/>
      <c r="BD138" s="36"/>
      <c r="BE138" s="41"/>
      <c r="BF138" s="41"/>
      <c r="BG138" s="41"/>
      <c r="BH138" s="41"/>
      <c r="BI138" s="42"/>
      <c r="BJ138" s="41"/>
      <c r="BK138" s="41"/>
      <c r="BL138" s="63"/>
      <c r="BM138" s="41"/>
      <c r="BN138" s="43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36"/>
      <c r="BZ138" s="41"/>
      <c r="CA138" s="41"/>
      <c r="CB138" s="36"/>
      <c r="CC138" s="36"/>
      <c r="CD138" s="36"/>
      <c r="CE138" s="36"/>
      <c r="CF138" s="103"/>
      <c r="CG138" s="238"/>
      <c r="CH138" s="239"/>
      <c r="CI138" s="36"/>
      <c r="CJ138" s="36"/>
      <c r="CK138" s="36"/>
      <c r="CL138" s="36"/>
      <c r="CM138" s="36"/>
      <c r="CN138" s="36"/>
      <c r="CO138" s="36"/>
      <c r="CP138" s="36"/>
      <c r="CQ138" s="61"/>
      <c r="CR138" s="41"/>
      <c r="CS138" s="66"/>
      <c r="CT138" s="66"/>
      <c r="CU138" s="66"/>
      <c r="CV138" s="66"/>
      <c r="CW138" s="6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61"/>
      <c r="DL138" s="56"/>
      <c r="DM138" s="57"/>
      <c r="DN138" s="41"/>
      <c r="DO138" s="56"/>
      <c r="DP138" s="57"/>
      <c r="DQ138" s="57"/>
      <c r="DR138" s="41"/>
      <c r="DS138" s="41"/>
      <c r="DT138" s="41"/>
      <c r="DU138" s="41"/>
    </row>
    <row r="139" spans="1:125" s="48" customFormat="1" ht="16.5" customHeight="1" x14ac:dyDescent="0.3">
      <c r="A139" s="36"/>
      <c r="B139" s="35"/>
      <c r="C139" s="36"/>
      <c r="D139" s="36"/>
      <c r="E139" s="36"/>
      <c r="F139" s="36"/>
      <c r="G139" s="36"/>
      <c r="H139" s="36"/>
      <c r="I139" s="36"/>
      <c r="J139" s="36"/>
      <c r="K139" s="37"/>
      <c r="L139" s="37"/>
      <c r="M139" s="36"/>
      <c r="N139" s="36"/>
      <c r="O139" s="36"/>
      <c r="P139" s="37"/>
      <c r="Q139" s="36"/>
      <c r="R139" s="36"/>
      <c r="S139" s="39"/>
      <c r="T139" s="39"/>
      <c r="U139" s="41"/>
      <c r="V139" s="41"/>
      <c r="W139" s="41"/>
      <c r="X139" s="41"/>
      <c r="Y139" s="41"/>
      <c r="Z139" s="36"/>
      <c r="AA139" s="36"/>
      <c r="AB139" s="36"/>
      <c r="AC139" s="42"/>
      <c r="AD139" s="40"/>
      <c r="AE139" s="41"/>
      <c r="AF139" s="41" t="s">
        <v>165</v>
      </c>
      <c r="AG139" s="41"/>
      <c r="AH139" s="41"/>
      <c r="AI139" s="41"/>
      <c r="AJ139" s="36"/>
      <c r="AK139" s="36"/>
      <c r="AL139" s="36"/>
      <c r="AM139" s="42"/>
      <c r="AN139" s="43"/>
      <c r="AO139" s="44"/>
      <c r="AP139" s="41"/>
      <c r="AQ139" s="41"/>
      <c r="AR139" s="41"/>
      <c r="AS139" s="41"/>
      <c r="AT139" s="41"/>
      <c r="AU139" s="41"/>
      <c r="AV139" s="41"/>
      <c r="AW139" s="36"/>
      <c r="AX139" s="36"/>
      <c r="AY139" s="36"/>
      <c r="AZ139" s="36"/>
      <c r="BA139" s="36"/>
      <c r="BB139" s="36"/>
      <c r="BC139" s="36"/>
      <c r="BD139" s="36"/>
      <c r="BE139" s="41"/>
      <c r="BF139" s="41"/>
      <c r="BG139" s="41"/>
      <c r="BH139" s="41"/>
      <c r="BI139" s="42"/>
      <c r="BJ139" s="41"/>
      <c r="BK139" s="41"/>
      <c r="BL139" s="63"/>
      <c r="BM139" s="41"/>
      <c r="BN139" s="43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103"/>
      <c r="CG139" s="238"/>
      <c r="CH139" s="239"/>
      <c r="CI139" s="36"/>
      <c r="CJ139" s="36"/>
      <c r="CK139" s="36"/>
      <c r="CL139" s="36"/>
      <c r="CM139" s="36"/>
      <c r="CN139" s="36"/>
      <c r="CO139" s="36"/>
      <c r="CP139" s="36"/>
      <c r="CQ139" s="61"/>
      <c r="CR139" s="41"/>
      <c r="CS139" s="66"/>
      <c r="CT139" s="66"/>
      <c r="CU139" s="66"/>
      <c r="CV139" s="66"/>
      <c r="CW139" s="6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61"/>
      <c r="DL139" s="56"/>
      <c r="DM139" s="57"/>
      <c r="DN139" s="41"/>
      <c r="DO139" s="56"/>
      <c r="DP139" s="57"/>
      <c r="DQ139" s="57"/>
      <c r="DR139" s="41"/>
      <c r="DS139" s="41"/>
      <c r="DT139" s="41"/>
      <c r="DU139" s="41"/>
    </row>
    <row r="140" spans="1:125" s="48" customFormat="1" ht="16.5" customHeight="1" x14ac:dyDescent="0.3">
      <c r="A140" s="76"/>
      <c r="B140" s="35"/>
      <c r="C140" s="36"/>
      <c r="D140" s="36"/>
      <c r="E140" s="36"/>
      <c r="F140" s="36"/>
      <c r="G140" s="36"/>
      <c r="H140" s="36"/>
      <c r="I140" s="36"/>
      <c r="J140" s="36"/>
      <c r="K140" s="37"/>
      <c r="L140" s="37"/>
      <c r="M140" s="36"/>
      <c r="N140" s="36"/>
      <c r="O140" s="36"/>
      <c r="P140" s="37"/>
      <c r="Q140" s="36"/>
      <c r="R140" s="36"/>
      <c r="S140" s="39"/>
      <c r="T140" s="39"/>
      <c r="U140" s="41"/>
      <c r="V140" s="41"/>
      <c r="W140" s="41"/>
      <c r="X140" s="41"/>
      <c r="Y140" s="41"/>
      <c r="Z140" s="36"/>
      <c r="AA140" s="36"/>
      <c r="AB140" s="36"/>
      <c r="AC140" s="42"/>
      <c r="AD140" s="40"/>
      <c r="AE140" s="41"/>
      <c r="AF140" s="41"/>
      <c r="AG140" s="41"/>
      <c r="AH140" s="41"/>
      <c r="AI140" s="36"/>
      <c r="AJ140" s="36"/>
      <c r="AK140" s="90"/>
      <c r="AL140" s="36"/>
      <c r="AM140" s="42"/>
      <c r="AN140" s="43"/>
      <c r="AO140" s="44"/>
      <c r="AP140" s="41"/>
      <c r="AQ140" s="41"/>
      <c r="AR140" s="41"/>
      <c r="AS140" s="41"/>
      <c r="AT140" s="41"/>
      <c r="AU140" s="41"/>
      <c r="AV140" s="41"/>
      <c r="AW140" s="36"/>
      <c r="AX140" s="36"/>
      <c r="AY140" s="36"/>
      <c r="AZ140" s="36"/>
      <c r="BA140" s="36"/>
      <c r="BB140" s="36"/>
      <c r="BC140" s="36"/>
      <c r="BD140" s="36"/>
      <c r="BE140" s="41"/>
      <c r="BF140" s="41"/>
      <c r="BG140" s="41"/>
      <c r="BH140" s="41"/>
      <c r="BI140" s="42"/>
      <c r="BJ140" s="41"/>
      <c r="BK140" s="41"/>
      <c r="BL140" s="63"/>
      <c r="BM140" s="41"/>
      <c r="BN140" s="43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103"/>
      <c r="CG140" s="238"/>
      <c r="CH140" s="239"/>
      <c r="CI140" s="36"/>
      <c r="CJ140" s="36"/>
      <c r="CK140" s="36"/>
      <c r="CL140" s="36"/>
      <c r="CM140" s="36"/>
      <c r="CN140" s="36"/>
      <c r="CO140" s="36"/>
      <c r="CP140" s="36"/>
      <c r="CQ140" s="61"/>
      <c r="CR140" s="41"/>
      <c r="CS140" s="66"/>
      <c r="CT140" s="66"/>
      <c r="CU140" s="66"/>
      <c r="CV140" s="66"/>
      <c r="CW140" s="6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61"/>
      <c r="DL140" s="56"/>
      <c r="DM140" s="57"/>
      <c r="DN140" s="41"/>
      <c r="DO140" s="56"/>
      <c r="DP140" s="57"/>
      <c r="DQ140" s="57"/>
      <c r="DR140" s="41"/>
      <c r="DS140" s="41"/>
      <c r="DT140" s="41"/>
      <c r="DU140" s="41"/>
    </row>
    <row r="141" spans="1:125" s="48" customFormat="1" ht="16.5" customHeight="1" x14ac:dyDescent="0.3">
      <c r="A141" s="34"/>
      <c r="B141" s="35"/>
      <c r="C141" s="36"/>
      <c r="D141" s="36"/>
      <c r="E141" s="36"/>
      <c r="F141" s="36"/>
      <c r="G141" s="36"/>
      <c r="H141" s="36"/>
      <c r="I141" s="36"/>
      <c r="J141" s="36"/>
      <c r="K141" s="37"/>
      <c r="L141" s="37"/>
      <c r="M141" s="36"/>
      <c r="N141" s="36"/>
      <c r="O141" s="36"/>
      <c r="P141" s="37"/>
      <c r="Q141" s="36"/>
      <c r="R141" s="36"/>
      <c r="S141" s="39"/>
      <c r="T141" s="39"/>
      <c r="U141" s="41"/>
      <c r="V141" s="41"/>
      <c r="W141" s="41"/>
      <c r="X141" s="41"/>
      <c r="Y141" s="41"/>
      <c r="Z141" s="36"/>
      <c r="AA141" s="36"/>
      <c r="AB141" s="36"/>
      <c r="AC141" s="42"/>
      <c r="AD141" s="40"/>
      <c r="AE141" s="41"/>
      <c r="AF141" s="41"/>
      <c r="AG141" s="41"/>
      <c r="AH141" s="41"/>
      <c r="AI141" s="41"/>
      <c r="AJ141" s="36"/>
      <c r="AK141" s="36"/>
      <c r="AL141" s="36"/>
      <c r="AM141" s="42"/>
      <c r="AN141" s="43"/>
      <c r="AO141" s="44"/>
      <c r="AP141" s="41"/>
      <c r="AQ141" s="41"/>
      <c r="AR141" s="41"/>
      <c r="AS141" s="41"/>
      <c r="AT141" s="41"/>
      <c r="AU141" s="41"/>
      <c r="AV141" s="41"/>
      <c r="AW141" s="36"/>
      <c r="AX141" s="36"/>
      <c r="AY141" s="36"/>
      <c r="AZ141" s="36"/>
      <c r="BA141" s="36"/>
      <c r="BB141" s="36"/>
      <c r="BC141" s="36"/>
      <c r="BD141" s="36"/>
      <c r="BE141" s="41"/>
      <c r="BF141" s="41"/>
      <c r="BG141" s="41"/>
      <c r="BH141" s="41"/>
      <c r="BI141" s="42"/>
      <c r="BJ141" s="41"/>
      <c r="BK141" s="41"/>
      <c r="BL141" s="63"/>
      <c r="BM141" s="41"/>
      <c r="BN141" s="43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103"/>
      <c r="CG141" s="238"/>
      <c r="CH141" s="239"/>
      <c r="CI141" s="36"/>
      <c r="CJ141" s="36"/>
      <c r="CK141" s="36"/>
      <c r="CL141" s="36"/>
      <c r="CM141" s="36"/>
      <c r="CN141" s="36"/>
      <c r="CO141" s="36"/>
      <c r="CP141" s="36"/>
      <c r="CQ141" s="61"/>
      <c r="CR141" s="41"/>
      <c r="CS141" s="66"/>
      <c r="CT141" s="66"/>
      <c r="CU141" s="66"/>
      <c r="CV141" s="66"/>
      <c r="CW141" s="6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>
        <v>2</v>
      </c>
      <c r="DI141" s="36"/>
      <c r="DJ141" s="36"/>
      <c r="DK141" s="61"/>
      <c r="DL141" s="56"/>
      <c r="DM141" s="57"/>
      <c r="DN141" s="41"/>
      <c r="DO141" s="56"/>
      <c r="DP141" s="57"/>
      <c r="DQ141" s="57"/>
      <c r="DR141" s="41"/>
      <c r="DS141" s="41"/>
      <c r="DT141" s="41"/>
      <c r="DU141" s="41"/>
    </row>
    <row r="142" spans="1:125" s="48" customFormat="1" ht="16.5" customHeight="1" x14ac:dyDescent="0.3">
      <c r="A142" s="34"/>
      <c r="B142" s="35"/>
      <c r="C142" s="36"/>
      <c r="D142" s="36"/>
      <c r="E142" s="36"/>
      <c r="F142" s="36"/>
      <c r="G142" s="36"/>
      <c r="H142" s="36"/>
      <c r="I142" s="36"/>
      <c r="J142" s="36"/>
      <c r="K142" s="37"/>
      <c r="L142" s="37"/>
      <c r="M142" s="36"/>
      <c r="N142" s="36"/>
      <c r="O142" s="36"/>
      <c r="P142" s="37"/>
      <c r="Q142" s="36"/>
      <c r="R142" s="36"/>
      <c r="S142" s="39"/>
      <c r="T142" s="39"/>
      <c r="U142" s="41"/>
      <c r="V142" s="41"/>
      <c r="W142" s="41"/>
      <c r="X142" s="41"/>
      <c r="Y142" s="41"/>
      <c r="Z142" s="36"/>
      <c r="AA142" s="36"/>
      <c r="AB142" s="36"/>
      <c r="AC142" s="42"/>
      <c r="AD142" s="40"/>
      <c r="AE142" s="41"/>
      <c r="AF142" s="41"/>
      <c r="AG142" s="41"/>
      <c r="AH142" s="41"/>
      <c r="AI142" s="41"/>
      <c r="AJ142" s="36"/>
      <c r="AK142" s="36"/>
      <c r="AL142" s="36"/>
      <c r="AM142" s="42"/>
      <c r="AN142" s="43"/>
      <c r="AO142" s="44"/>
      <c r="AP142" s="41"/>
      <c r="AQ142" s="41"/>
      <c r="AR142" s="41"/>
      <c r="AS142" s="41"/>
      <c r="AT142" s="41"/>
      <c r="AU142" s="41"/>
      <c r="AV142" s="41"/>
      <c r="AW142" s="36"/>
      <c r="AX142" s="36"/>
      <c r="AY142" s="36"/>
      <c r="AZ142" s="36"/>
      <c r="BA142" s="36"/>
      <c r="BB142" s="36"/>
      <c r="BC142" s="36"/>
      <c r="BD142" s="36"/>
      <c r="BE142" s="41"/>
      <c r="BF142" s="41"/>
      <c r="BG142" s="41"/>
      <c r="BH142" s="41"/>
      <c r="BI142" s="42"/>
      <c r="BJ142" s="41"/>
      <c r="BK142" s="41"/>
      <c r="BL142" s="63"/>
      <c r="BM142" s="41"/>
      <c r="BN142" s="43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103"/>
      <c r="CG142" s="238"/>
      <c r="CH142" s="239"/>
      <c r="CI142" s="36"/>
      <c r="CJ142" s="36"/>
      <c r="CK142" s="36"/>
      <c r="CL142" s="36"/>
      <c r="CM142" s="36"/>
      <c r="CN142" s="36"/>
      <c r="CO142" s="36"/>
      <c r="CP142" s="36"/>
      <c r="CQ142" s="61"/>
      <c r="CR142" s="41"/>
      <c r="CS142" s="66"/>
      <c r="CT142" s="66"/>
      <c r="CU142" s="66"/>
      <c r="CV142" s="66"/>
      <c r="CW142" s="6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61"/>
      <c r="DL142" s="56"/>
      <c r="DM142" s="57"/>
      <c r="DN142" s="41"/>
      <c r="DO142" s="56"/>
      <c r="DP142" s="57"/>
      <c r="DQ142" s="57"/>
      <c r="DR142" s="41"/>
      <c r="DS142" s="41"/>
      <c r="DT142" s="41"/>
      <c r="DU142" s="41"/>
    </row>
    <row r="143" spans="1:125" s="48" customFormat="1" ht="16.5" customHeight="1" x14ac:dyDescent="0.3">
      <c r="A143" s="34"/>
      <c r="B143" s="35"/>
      <c r="C143" s="36"/>
      <c r="D143" s="36"/>
      <c r="E143" s="36"/>
      <c r="F143" s="36"/>
      <c r="G143" s="36"/>
      <c r="H143" s="36"/>
      <c r="I143" s="36"/>
      <c r="J143" s="36"/>
      <c r="K143" s="37"/>
      <c r="L143" s="37"/>
      <c r="M143" s="36"/>
      <c r="N143" s="36"/>
      <c r="O143" s="36"/>
      <c r="P143" s="37"/>
      <c r="Q143" s="36"/>
      <c r="R143" s="36"/>
      <c r="S143" s="39"/>
      <c r="T143" s="39"/>
      <c r="U143" s="41"/>
      <c r="V143" s="41"/>
      <c r="W143" s="41"/>
      <c r="X143" s="41"/>
      <c r="Y143" s="41"/>
      <c r="Z143" s="36"/>
      <c r="AA143" s="36"/>
      <c r="AB143" s="36"/>
      <c r="AC143" s="42"/>
      <c r="AD143" s="40"/>
      <c r="AE143" s="41"/>
      <c r="AF143" s="41"/>
      <c r="AG143" s="41"/>
      <c r="AH143" s="41"/>
      <c r="AI143" s="41"/>
      <c r="AJ143" s="36"/>
      <c r="AK143" s="36"/>
      <c r="AL143" s="36"/>
      <c r="AM143" s="42"/>
      <c r="AN143" s="43"/>
      <c r="AO143" s="44"/>
      <c r="AP143" s="41"/>
      <c r="AQ143" s="41"/>
      <c r="AR143" s="41"/>
      <c r="AS143" s="41"/>
      <c r="AT143" s="41"/>
      <c r="AU143" s="41"/>
      <c r="AV143" s="41"/>
      <c r="AW143" s="36"/>
      <c r="AX143" s="36"/>
      <c r="AY143" s="36"/>
      <c r="AZ143" s="36"/>
      <c r="BA143" s="36"/>
      <c r="BB143" s="36"/>
      <c r="BC143" s="36"/>
      <c r="BD143" s="36"/>
      <c r="BE143" s="41"/>
      <c r="BF143" s="41"/>
      <c r="BG143" s="41"/>
      <c r="BH143" s="41"/>
      <c r="BI143" s="42"/>
      <c r="BJ143" s="41"/>
      <c r="BK143" s="41"/>
      <c r="BL143" s="63"/>
      <c r="BM143" s="41"/>
      <c r="BN143" s="43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103"/>
      <c r="CG143" s="238"/>
      <c r="CH143" s="239"/>
      <c r="CI143" s="36"/>
      <c r="CJ143" s="36"/>
      <c r="CK143" s="36"/>
      <c r="CL143" s="36"/>
      <c r="CM143" s="36"/>
      <c r="CN143" s="36"/>
      <c r="CO143" s="36"/>
      <c r="CP143" s="36"/>
      <c r="CQ143" s="61"/>
      <c r="CR143" s="41"/>
      <c r="CS143" s="66"/>
      <c r="CT143" s="66"/>
      <c r="CU143" s="66"/>
      <c r="CV143" s="66"/>
      <c r="CW143" s="6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61"/>
      <c r="DL143" s="56"/>
      <c r="DM143" s="57"/>
      <c r="DN143" s="41"/>
      <c r="DO143" s="56"/>
      <c r="DP143" s="57"/>
      <c r="DQ143" s="57"/>
      <c r="DR143" s="41"/>
      <c r="DS143" s="41"/>
      <c r="DT143" s="41"/>
      <c r="DU143" s="41"/>
    </row>
    <row r="144" spans="1:125" s="48" customFormat="1" ht="16.5" customHeight="1" x14ac:dyDescent="0.3">
      <c r="A144" s="34"/>
      <c r="B144" s="35"/>
      <c r="C144" s="36"/>
      <c r="D144" s="36"/>
      <c r="E144" s="36"/>
      <c r="F144" s="36"/>
      <c r="G144" s="36"/>
      <c r="H144" s="36"/>
      <c r="I144" s="36"/>
      <c r="J144" s="36"/>
      <c r="K144" s="37"/>
      <c r="L144" s="37"/>
      <c r="M144" s="36"/>
      <c r="N144" s="36"/>
      <c r="O144" s="36"/>
      <c r="P144" s="37"/>
      <c r="Q144" s="36"/>
      <c r="R144" s="36"/>
      <c r="S144" s="39"/>
      <c r="T144" s="39"/>
      <c r="U144" s="41"/>
      <c r="V144" s="41"/>
      <c r="W144" s="41"/>
      <c r="X144" s="41"/>
      <c r="Y144" s="41"/>
      <c r="Z144" s="36"/>
      <c r="AA144" s="36"/>
      <c r="AB144" s="36"/>
      <c r="AC144" s="42"/>
      <c r="AD144" s="40"/>
      <c r="AE144" s="41"/>
      <c r="AF144" s="41"/>
      <c r="AG144" s="41"/>
      <c r="AH144" s="41"/>
      <c r="AI144" s="41"/>
      <c r="AJ144" s="36"/>
      <c r="AK144" s="36"/>
      <c r="AL144" s="36"/>
      <c r="AM144" s="42"/>
      <c r="AN144" s="43"/>
      <c r="AO144" s="44"/>
      <c r="AP144" s="41"/>
      <c r="AQ144" s="41"/>
      <c r="AR144" s="41"/>
      <c r="AS144" s="41"/>
      <c r="AT144" s="41"/>
      <c r="AU144" s="41"/>
      <c r="AV144" s="41"/>
      <c r="AW144" s="36"/>
      <c r="AX144" s="36"/>
      <c r="AY144" s="36"/>
      <c r="AZ144" s="36"/>
      <c r="BA144" s="36"/>
      <c r="BB144" s="36"/>
      <c r="BC144" s="36"/>
      <c r="BD144" s="36"/>
      <c r="BE144" s="41"/>
      <c r="BF144" s="41"/>
      <c r="BG144" s="41"/>
      <c r="BH144" s="41"/>
      <c r="BI144" s="42"/>
      <c r="BJ144" s="41"/>
      <c r="BK144" s="41"/>
      <c r="BL144" s="63"/>
      <c r="BM144" s="41"/>
      <c r="BN144" s="43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103"/>
      <c r="CG144" s="238"/>
      <c r="CH144" s="239"/>
      <c r="CI144" s="36"/>
      <c r="CJ144" s="36"/>
      <c r="CK144" s="36"/>
      <c r="CL144" s="36"/>
      <c r="CM144" s="36"/>
      <c r="CN144" s="36"/>
      <c r="CO144" s="36"/>
      <c r="CP144" s="36"/>
      <c r="CQ144" s="61"/>
      <c r="CR144" s="41"/>
      <c r="CS144" s="66"/>
      <c r="CT144" s="66"/>
      <c r="CU144" s="66"/>
      <c r="CV144" s="66"/>
      <c r="CW144" s="6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61"/>
      <c r="DL144" s="56"/>
      <c r="DM144" s="57"/>
      <c r="DN144" s="41"/>
      <c r="DO144" s="56"/>
      <c r="DP144" s="57"/>
      <c r="DQ144" s="57"/>
      <c r="DR144" s="41"/>
      <c r="DS144" s="41"/>
      <c r="DT144" s="41"/>
      <c r="DU144" s="41"/>
    </row>
    <row r="145" spans="1:125" s="48" customFormat="1" ht="16.5" customHeight="1" x14ac:dyDescent="0.3">
      <c r="A145" s="34"/>
      <c r="B145" s="35"/>
      <c r="C145" s="36"/>
      <c r="D145" s="36"/>
      <c r="E145" s="36"/>
      <c r="F145" s="36"/>
      <c r="G145" s="36"/>
      <c r="H145" s="36"/>
      <c r="I145" s="36"/>
      <c r="J145" s="36"/>
      <c r="K145" s="37"/>
      <c r="L145" s="37"/>
      <c r="M145" s="36"/>
      <c r="N145" s="36"/>
      <c r="O145" s="36"/>
      <c r="P145" s="37"/>
      <c r="Q145" s="36"/>
      <c r="R145" s="36"/>
      <c r="S145" s="39"/>
      <c r="T145" s="39"/>
      <c r="U145" s="41"/>
      <c r="V145" s="41"/>
      <c r="W145" s="41"/>
      <c r="X145" s="41"/>
      <c r="Y145" s="41"/>
      <c r="Z145" s="36"/>
      <c r="AA145" s="36"/>
      <c r="AB145" s="36"/>
      <c r="AC145" s="42"/>
      <c r="AD145" s="40"/>
      <c r="AE145" s="41"/>
      <c r="AF145" s="41"/>
      <c r="AG145" s="41"/>
      <c r="AH145" s="41"/>
      <c r="AI145" s="41"/>
      <c r="AJ145" s="36"/>
      <c r="AK145" s="36"/>
      <c r="AL145" s="36"/>
      <c r="AM145" s="42"/>
      <c r="AN145" s="43"/>
      <c r="AO145" s="44"/>
      <c r="AP145" s="41"/>
      <c r="AQ145" s="41"/>
      <c r="AR145" s="41"/>
      <c r="AS145" s="41"/>
      <c r="AT145" s="41"/>
      <c r="AU145" s="41"/>
      <c r="AV145" s="41"/>
      <c r="AW145" s="36"/>
      <c r="AX145" s="36"/>
      <c r="AY145" s="36"/>
      <c r="AZ145" s="36"/>
      <c r="BA145" s="36"/>
      <c r="BB145" s="36"/>
      <c r="BC145" s="36"/>
      <c r="BD145" s="36"/>
      <c r="BE145" s="41"/>
      <c r="BF145" s="41"/>
      <c r="BG145" s="41"/>
      <c r="BH145" s="41"/>
      <c r="BI145" s="42"/>
      <c r="BJ145" s="41"/>
      <c r="BK145" s="41"/>
      <c r="BL145" s="63"/>
      <c r="BM145" s="41"/>
      <c r="BN145" s="43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103"/>
      <c r="CG145" s="238"/>
      <c r="CH145" s="239"/>
      <c r="CI145" s="36"/>
      <c r="CJ145" s="36"/>
      <c r="CK145" s="36"/>
      <c r="CL145" s="36"/>
      <c r="CM145" s="36"/>
      <c r="CN145" s="36"/>
      <c r="CO145" s="36"/>
      <c r="CP145" s="36"/>
      <c r="CQ145" s="61"/>
      <c r="CR145" s="41"/>
      <c r="CS145" s="66"/>
      <c r="CT145" s="66"/>
      <c r="CU145" s="66"/>
      <c r="CV145" s="66"/>
      <c r="CW145" s="6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61"/>
      <c r="DL145" s="56"/>
      <c r="DM145" s="57"/>
      <c r="DN145" s="41"/>
      <c r="DO145" s="56"/>
      <c r="DP145" s="57"/>
      <c r="DQ145" s="57"/>
      <c r="DR145" s="41"/>
      <c r="DS145" s="41"/>
      <c r="DT145" s="41"/>
      <c r="DU145" s="41"/>
    </row>
    <row r="146" spans="1:125" s="48" customFormat="1" ht="16.5" customHeight="1" x14ac:dyDescent="0.3">
      <c r="A146" s="34"/>
      <c r="B146" s="35"/>
      <c r="C146" s="36"/>
      <c r="D146" s="36"/>
      <c r="E146" s="36"/>
      <c r="F146" s="36"/>
      <c r="G146" s="36"/>
      <c r="H146" s="36"/>
      <c r="I146" s="36"/>
      <c r="J146" s="36"/>
      <c r="K146" s="37"/>
      <c r="L146" s="37"/>
      <c r="M146" s="36"/>
      <c r="N146" s="36"/>
      <c r="O146" s="36"/>
      <c r="P146" s="37"/>
      <c r="Q146" s="36"/>
      <c r="R146" s="36"/>
      <c r="S146" s="39"/>
      <c r="T146" s="39"/>
      <c r="U146" s="41"/>
      <c r="V146" s="41"/>
      <c r="W146" s="41"/>
      <c r="X146" s="41"/>
      <c r="Y146" s="41"/>
      <c r="Z146" s="36"/>
      <c r="AA146" s="36"/>
      <c r="AB146" s="36"/>
      <c r="AC146" s="42"/>
      <c r="AD146" s="40"/>
      <c r="AE146" s="41"/>
      <c r="AF146" s="41"/>
      <c r="AG146" s="41"/>
      <c r="AH146" s="41"/>
      <c r="AI146" s="41"/>
      <c r="AJ146" s="36"/>
      <c r="AK146" s="36"/>
      <c r="AL146" s="36"/>
      <c r="AM146" s="42"/>
      <c r="AN146" s="43"/>
      <c r="AO146" s="44"/>
      <c r="AP146" s="41"/>
      <c r="AQ146" s="41"/>
      <c r="AR146" s="41"/>
      <c r="AS146" s="41"/>
      <c r="AT146" s="41"/>
      <c r="AU146" s="41"/>
      <c r="AV146" s="41"/>
      <c r="AW146" s="36"/>
      <c r="AX146" s="36"/>
      <c r="AY146" s="36"/>
      <c r="AZ146" s="36"/>
      <c r="BA146" s="36"/>
      <c r="BB146" s="36"/>
      <c r="BC146" s="36"/>
      <c r="BD146" s="36"/>
      <c r="BE146" s="41"/>
      <c r="BF146" s="41"/>
      <c r="BG146" s="41"/>
      <c r="BH146" s="41"/>
      <c r="BI146" s="42"/>
      <c r="BJ146" s="41"/>
      <c r="BK146" s="41"/>
      <c r="BL146" s="63"/>
      <c r="BM146" s="41"/>
      <c r="BN146" s="43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103"/>
      <c r="CG146" s="238"/>
      <c r="CH146" s="239"/>
      <c r="CI146" s="36"/>
      <c r="CJ146" s="36"/>
      <c r="CK146" s="36"/>
      <c r="CL146" s="36"/>
      <c r="CM146" s="36"/>
      <c r="CN146" s="36"/>
      <c r="CO146" s="36"/>
      <c r="CP146" s="36"/>
      <c r="CQ146" s="61"/>
      <c r="CR146" s="41"/>
      <c r="CS146" s="66"/>
      <c r="CT146" s="66"/>
      <c r="CU146" s="66"/>
      <c r="CV146" s="66"/>
      <c r="CW146" s="6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61"/>
      <c r="DL146" s="56"/>
      <c r="DM146" s="57"/>
      <c r="DN146" s="41"/>
      <c r="DO146" s="56"/>
      <c r="DP146" s="57"/>
      <c r="DQ146" s="57"/>
      <c r="DR146" s="41"/>
      <c r="DS146" s="41"/>
      <c r="DT146" s="41"/>
      <c r="DU146" s="41"/>
    </row>
    <row r="147" spans="1:125" s="48" customFormat="1" ht="16.5" customHeight="1" x14ac:dyDescent="0.3">
      <c r="A147" s="34"/>
      <c r="B147" s="35"/>
      <c r="C147" s="36"/>
      <c r="D147" s="36"/>
      <c r="E147" s="36"/>
      <c r="F147" s="36"/>
      <c r="G147" s="36"/>
      <c r="H147" s="36"/>
      <c r="I147" s="36"/>
      <c r="J147" s="36"/>
      <c r="K147" s="37"/>
      <c r="L147" s="37"/>
      <c r="M147" s="36"/>
      <c r="N147" s="36"/>
      <c r="O147" s="36"/>
      <c r="P147" s="37"/>
      <c r="Q147" s="36"/>
      <c r="R147" s="36"/>
      <c r="S147" s="39"/>
      <c r="T147" s="39"/>
      <c r="U147" s="41"/>
      <c r="V147" s="41"/>
      <c r="W147" s="41"/>
      <c r="X147" s="41"/>
      <c r="Y147" s="41"/>
      <c r="Z147" s="36"/>
      <c r="AA147" s="36"/>
      <c r="AB147" s="36"/>
      <c r="AC147" s="42"/>
      <c r="AD147" s="40"/>
      <c r="AE147" s="41"/>
      <c r="AF147" s="41"/>
      <c r="AG147" s="41"/>
      <c r="AH147" s="41"/>
      <c r="AI147" s="41"/>
      <c r="AJ147" s="36"/>
      <c r="AK147" s="36"/>
      <c r="AL147" s="36"/>
      <c r="AM147" s="42"/>
      <c r="AN147" s="43"/>
      <c r="AO147" s="44"/>
      <c r="AP147" s="41"/>
      <c r="AQ147" s="41"/>
      <c r="AR147" s="41"/>
      <c r="AS147" s="41"/>
      <c r="AT147" s="41"/>
      <c r="AU147" s="41"/>
      <c r="AV147" s="41"/>
      <c r="AW147" s="36"/>
      <c r="AX147" s="36"/>
      <c r="AY147" s="36"/>
      <c r="AZ147" s="36"/>
      <c r="BA147" s="36"/>
      <c r="BB147" s="36"/>
      <c r="BC147" s="36"/>
      <c r="BD147" s="36"/>
      <c r="BE147" s="41"/>
      <c r="BF147" s="41"/>
      <c r="BG147" s="41"/>
      <c r="BH147" s="41"/>
      <c r="BI147" s="42"/>
      <c r="BJ147" s="41"/>
      <c r="BK147" s="41"/>
      <c r="BL147" s="63"/>
      <c r="BM147" s="41"/>
      <c r="BN147" s="43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103"/>
      <c r="CG147" s="238"/>
      <c r="CH147" s="239"/>
      <c r="CI147" s="36"/>
      <c r="CJ147" s="36"/>
      <c r="CK147" s="36"/>
      <c r="CL147" s="36"/>
      <c r="CM147" s="36"/>
      <c r="CN147" s="36"/>
      <c r="CO147" s="36"/>
      <c r="CP147" s="36"/>
      <c r="CQ147" s="61"/>
      <c r="CR147" s="41"/>
      <c r="CS147" s="66"/>
      <c r="CT147" s="66"/>
      <c r="CU147" s="66"/>
      <c r="CV147" s="66"/>
      <c r="CW147" s="6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61"/>
      <c r="DL147" s="56"/>
      <c r="DM147" s="57"/>
      <c r="DN147" s="41"/>
      <c r="DO147" s="56"/>
      <c r="DP147" s="57"/>
      <c r="DQ147" s="57"/>
      <c r="DR147" s="41"/>
      <c r="DS147" s="41"/>
      <c r="DT147" s="41"/>
      <c r="DU147" s="41"/>
    </row>
    <row r="148" spans="1:125" s="48" customFormat="1" ht="16.5" customHeight="1" x14ac:dyDescent="0.3">
      <c r="A148" s="34"/>
      <c r="B148" s="35"/>
      <c r="C148" s="36"/>
      <c r="D148" s="36"/>
      <c r="E148" s="36"/>
      <c r="F148" s="36"/>
      <c r="G148" s="36"/>
      <c r="H148" s="36"/>
      <c r="I148" s="36"/>
      <c r="J148" s="36"/>
      <c r="K148" s="37"/>
      <c r="L148" s="37"/>
      <c r="M148" s="36"/>
      <c r="N148" s="36"/>
      <c r="O148" s="36"/>
      <c r="P148" s="37"/>
      <c r="Q148" s="36"/>
      <c r="R148" s="36"/>
      <c r="S148" s="39"/>
      <c r="T148" s="39"/>
      <c r="U148" s="41"/>
      <c r="V148" s="41"/>
      <c r="W148" s="41"/>
      <c r="X148" s="41"/>
      <c r="Y148" s="41"/>
      <c r="Z148" s="36"/>
      <c r="AA148" s="36"/>
      <c r="AB148" s="36"/>
      <c r="AC148" s="42"/>
      <c r="AD148" s="40"/>
      <c r="AE148" s="41"/>
      <c r="AF148" s="41"/>
      <c r="AG148" s="41"/>
      <c r="AH148" s="41"/>
      <c r="AI148" s="41"/>
      <c r="AJ148" s="36"/>
      <c r="AK148" s="36"/>
      <c r="AL148" s="36"/>
      <c r="AM148" s="42"/>
      <c r="AN148" s="43"/>
      <c r="AO148" s="44"/>
      <c r="AP148" s="41"/>
      <c r="AQ148" s="41"/>
      <c r="AR148" s="41"/>
      <c r="AS148" s="41"/>
      <c r="AT148" s="41"/>
      <c r="AU148" s="41"/>
      <c r="AV148" s="41"/>
      <c r="AW148" s="36"/>
      <c r="AX148" s="36"/>
      <c r="AY148" s="36"/>
      <c r="AZ148" s="36"/>
      <c r="BA148" s="36"/>
      <c r="BB148" s="36"/>
      <c r="BC148" s="36"/>
      <c r="BD148" s="36"/>
      <c r="BE148" s="41"/>
      <c r="BF148" s="41"/>
      <c r="BG148" s="41"/>
      <c r="BH148" s="41"/>
      <c r="BI148" s="42"/>
      <c r="BJ148" s="41"/>
      <c r="BK148" s="41"/>
      <c r="BL148" s="63"/>
      <c r="BM148" s="41"/>
      <c r="BN148" s="43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103"/>
      <c r="CG148" s="238"/>
      <c r="CH148" s="239"/>
      <c r="CI148" s="36"/>
      <c r="CJ148" s="36"/>
      <c r="CK148" s="36"/>
      <c r="CL148" s="36"/>
      <c r="CM148" s="36"/>
      <c r="CN148" s="36"/>
      <c r="CO148" s="36"/>
      <c r="CP148" s="36"/>
      <c r="CQ148" s="61"/>
      <c r="CR148" s="41"/>
      <c r="CS148" s="66"/>
      <c r="CT148" s="66"/>
      <c r="CU148" s="66"/>
      <c r="CV148" s="66"/>
      <c r="CW148" s="6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61"/>
      <c r="DL148" s="56"/>
      <c r="DM148" s="57"/>
      <c r="DN148" s="41"/>
      <c r="DO148" s="56"/>
      <c r="DP148" s="57"/>
      <c r="DQ148" s="57"/>
      <c r="DR148" s="41"/>
      <c r="DS148" s="41"/>
      <c r="DT148" s="41"/>
      <c r="DU148" s="41"/>
    </row>
    <row r="149" spans="1:125" s="48" customFormat="1" ht="16.5" customHeight="1" x14ac:dyDescent="0.3">
      <c r="A149" s="34"/>
      <c r="B149" s="35"/>
      <c r="C149" s="36"/>
      <c r="D149" s="36"/>
      <c r="E149" s="36"/>
      <c r="F149" s="36"/>
      <c r="G149" s="36"/>
      <c r="H149" s="36"/>
      <c r="I149" s="36"/>
      <c r="J149" s="36"/>
      <c r="K149" s="37"/>
      <c r="L149" s="37"/>
      <c r="M149" s="36"/>
      <c r="N149" s="36"/>
      <c r="O149" s="36"/>
      <c r="P149" s="37"/>
      <c r="Q149" s="36"/>
      <c r="R149" s="36"/>
      <c r="S149" s="39"/>
      <c r="T149" s="39"/>
      <c r="U149" s="41"/>
      <c r="V149" s="41"/>
      <c r="W149" s="41"/>
      <c r="X149" s="41"/>
      <c r="Y149" s="41"/>
      <c r="Z149" s="36"/>
      <c r="AA149" s="36"/>
      <c r="AB149" s="36"/>
      <c r="AC149" s="42"/>
      <c r="AD149" s="40"/>
      <c r="AE149" s="41"/>
      <c r="AF149" s="41"/>
      <c r="AG149" s="41"/>
      <c r="AH149" s="41"/>
      <c r="AI149" s="41"/>
      <c r="AJ149" s="36"/>
      <c r="AK149" s="36"/>
      <c r="AL149" s="36"/>
      <c r="AM149" s="42"/>
      <c r="AN149" s="43"/>
      <c r="AO149" s="44"/>
      <c r="AP149" s="41"/>
      <c r="AQ149" s="41"/>
      <c r="AR149" s="41"/>
      <c r="AS149" s="41"/>
      <c r="AT149" s="41"/>
      <c r="AU149" s="41"/>
      <c r="AV149" s="41"/>
      <c r="AW149" s="36"/>
      <c r="AX149" s="36"/>
      <c r="AY149" s="36"/>
      <c r="AZ149" s="36"/>
      <c r="BA149" s="36"/>
      <c r="BB149" s="36"/>
      <c r="BC149" s="36"/>
      <c r="BD149" s="36"/>
      <c r="BE149" s="41"/>
      <c r="BF149" s="41"/>
      <c r="BG149" s="41"/>
      <c r="BH149" s="41"/>
      <c r="BI149" s="42"/>
      <c r="BJ149" s="41"/>
      <c r="BK149" s="41"/>
      <c r="BL149" s="63"/>
      <c r="BM149" s="41"/>
      <c r="BN149" s="43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103"/>
      <c r="CG149" s="238"/>
      <c r="CH149" s="239"/>
      <c r="CI149" s="36"/>
      <c r="CJ149" s="36"/>
      <c r="CK149" s="36"/>
      <c r="CL149" s="36"/>
      <c r="CM149" s="36"/>
      <c r="CN149" s="36"/>
      <c r="CO149" s="36"/>
      <c r="CP149" s="36"/>
      <c r="CQ149" s="61"/>
      <c r="CR149" s="41"/>
      <c r="CS149" s="66"/>
      <c r="CT149" s="66"/>
      <c r="CU149" s="66"/>
      <c r="CV149" s="66"/>
      <c r="CW149" s="6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61"/>
      <c r="DL149" s="56"/>
      <c r="DM149" s="57"/>
      <c r="DN149" s="41"/>
      <c r="DO149" s="56"/>
      <c r="DP149" s="57"/>
      <c r="DQ149" s="57"/>
      <c r="DR149" s="41"/>
      <c r="DS149" s="41"/>
      <c r="DT149" s="41"/>
      <c r="DU149" s="41"/>
    </row>
    <row r="150" spans="1:125" s="48" customFormat="1" ht="16.5" customHeight="1" x14ac:dyDescent="0.3">
      <c r="A150" s="34"/>
      <c r="B150" s="35"/>
      <c r="C150" s="36"/>
      <c r="D150" s="36"/>
      <c r="E150" s="36"/>
      <c r="F150" s="36"/>
      <c r="G150" s="36"/>
      <c r="H150" s="36"/>
      <c r="I150" s="36"/>
      <c r="J150" s="36"/>
      <c r="K150" s="37"/>
      <c r="L150" s="37"/>
      <c r="M150" s="36"/>
      <c r="N150" s="36"/>
      <c r="O150" s="36"/>
      <c r="P150" s="37"/>
      <c r="Q150" s="36"/>
      <c r="R150" s="36"/>
      <c r="S150" s="39"/>
      <c r="T150" s="39"/>
      <c r="U150" s="41"/>
      <c r="V150" s="41"/>
      <c r="W150" s="41"/>
      <c r="X150" s="41"/>
      <c r="Y150" s="41"/>
      <c r="Z150" s="36"/>
      <c r="AA150" s="36"/>
      <c r="AB150" s="36"/>
      <c r="AC150" s="42"/>
      <c r="AD150" s="40"/>
      <c r="AE150" s="41"/>
      <c r="AF150" s="41"/>
      <c r="AG150" s="41"/>
      <c r="AH150" s="41"/>
      <c r="AI150" s="41"/>
      <c r="AJ150" s="36"/>
      <c r="AK150" s="36"/>
      <c r="AL150" s="36"/>
      <c r="AM150" s="42"/>
      <c r="AN150" s="43"/>
      <c r="AO150" s="44"/>
      <c r="AP150" s="41"/>
      <c r="AQ150" s="41"/>
      <c r="AR150" s="41"/>
      <c r="AS150" s="41"/>
      <c r="AT150" s="41"/>
      <c r="AU150" s="72"/>
      <c r="AV150" s="104"/>
      <c r="AW150" s="36"/>
      <c r="AX150" s="36"/>
      <c r="AY150" s="36"/>
      <c r="AZ150" s="36"/>
      <c r="BA150" s="36"/>
      <c r="BB150" s="36"/>
      <c r="BC150" s="36"/>
      <c r="BD150" s="36"/>
      <c r="BE150" s="41"/>
      <c r="BF150" s="41"/>
      <c r="BG150" s="41"/>
      <c r="BH150" s="41"/>
      <c r="BI150" s="42"/>
      <c r="BJ150" s="41"/>
      <c r="BK150" s="41"/>
      <c r="BL150" s="63"/>
      <c r="BM150" s="41"/>
      <c r="BN150" s="43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103"/>
      <c r="CG150" s="238"/>
      <c r="CH150" s="239"/>
      <c r="CI150" s="36"/>
      <c r="CJ150" s="36"/>
      <c r="CK150" s="36"/>
      <c r="CL150" s="36"/>
      <c r="CM150" s="36"/>
      <c r="CN150" s="36"/>
      <c r="CO150" s="36"/>
      <c r="CP150" s="36"/>
      <c r="CQ150" s="61"/>
      <c r="CR150" s="41"/>
      <c r="CS150" s="66"/>
      <c r="CT150" s="66"/>
      <c r="CU150" s="66"/>
      <c r="CV150" s="66"/>
      <c r="CW150" s="6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61"/>
      <c r="DL150" s="56"/>
      <c r="DM150" s="57"/>
      <c r="DN150" s="41"/>
      <c r="DO150" s="56"/>
      <c r="DP150" s="57"/>
      <c r="DQ150" s="57"/>
      <c r="DR150" s="41"/>
      <c r="DS150" s="41"/>
      <c r="DT150" s="41"/>
      <c r="DU150" s="41"/>
    </row>
    <row r="151" spans="1:125" s="48" customFormat="1" ht="16.5" customHeight="1" x14ac:dyDescent="0.3">
      <c r="A151" s="34"/>
      <c r="B151" s="35"/>
      <c r="C151" s="36"/>
      <c r="D151" s="36"/>
      <c r="E151" s="36"/>
      <c r="F151" s="36"/>
      <c r="G151" s="36"/>
      <c r="H151" s="36"/>
      <c r="I151" s="36"/>
      <c r="J151" s="36"/>
      <c r="K151" s="37"/>
      <c r="L151" s="37"/>
      <c r="M151" s="36"/>
      <c r="N151" s="36"/>
      <c r="O151" s="36"/>
      <c r="P151" s="37"/>
      <c r="Q151" s="36"/>
      <c r="R151" s="36"/>
      <c r="S151" s="39"/>
      <c r="T151" s="39"/>
      <c r="U151" s="41"/>
      <c r="V151" s="41"/>
      <c r="W151" s="41"/>
      <c r="X151" s="41"/>
      <c r="Y151" s="41"/>
      <c r="Z151" s="36"/>
      <c r="AA151" s="36"/>
      <c r="AB151" s="36"/>
      <c r="AC151" s="42"/>
      <c r="AD151" s="40"/>
      <c r="AE151" s="41"/>
      <c r="AF151" s="41"/>
      <c r="AG151" s="41"/>
      <c r="AH151" s="41"/>
      <c r="AI151" s="41"/>
      <c r="AJ151" s="36"/>
      <c r="AK151" s="36"/>
      <c r="AL151" s="36"/>
      <c r="AM151" s="42"/>
      <c r="AN151" s="43"/>
      <c r="AO151" s="44"/>
      <c r="AP151" s="41"/>
      <c r="AQ151" s="41"/>
      <c r="AR151" s="41"/>
      <c r="AS151" s="41"/>
      <c r="AT151" s="41"/>
      <c r="AU151" s="41"/>
      <c r="AV151" s="41"/>
      <c r="AW151" s="41"/>
      <c r="AX151" s="36"/>
      <c r="AY151" s="36"/>
      <c r="AZ151" s="36"/>
      <c r="BA151" s="36"/>
      <c r="BB151" s="36"/>
      <c r="BC151" s="36"/>
      <c r="BD151" s="36"/>
      <c r="BE151" s="41"/>
      <c r="BF151" s="41"/>
      <c r="BG151" s="41"/>
      <c r="BH151" s="41"/>
      <c r="BI151" s="42"/>
      <c r="BJ151" s="41"/>
      <c r="BK151" s="41"/>
      <c r="BL151" s="63"/>
      <c r="BM151" s="41"/>
      <c r="BN151" s="43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103"/>
      <c r="CG151" s="238"/>
      <c r="CH151" s="239"/>
      <c r="CI151" s="36"/>
      <c r="CJ151" s="36"/>
      <c r="CK151" s="36"/>
      <c r="CL151" s="36"/>
      <c r="CM151" s="36"/>
      <c r="CN151" s="36"/>
      <c r="CO151" s="36"/>
      <c r="CP151" s="36"/>
      <c r="CQ151" s="61"/>
      <c r="CR151" s="41"/>
      <c r="CS151" s="66"/>
      <c r="CT151" s="66"/>
      <c r="CU151" s="66"/>
      <c r="CV151" s="66"/>
      <c r="CW151" s="6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61"/>
      <c r="DL151" s="56"/>
      <c r="DM151" s="57"/>
      <c r="DN151" s="41"/>
      <c r="DO151" s="56"/>
      <c r="DP151" s="57"/>
      <c r="DQ151" s="57"/>
      <c r="DR151" s="41"/>
      <c r="DS151" s="41"/>
      <c r="DT151" s="41"/>
      <c r="DU151" s="41"/>
    </row>
    <row r="152" spans="1:125" s="48" customFormat="1" ht="16.5" customHeight="1" x14ac:dyDescent="0.3">
      <c r="A152" s="34"/>
      <c r="B152" s="35"/>
      <c r="C152" s="36"/>
      <c r="D152" s="36"/>
      <c r="E152" s="36"/>
      <c r="F152" s="36"/>
      <c r="G152" s="36"/>
      <c r="H152" s="36"/>
      <c r="I152" s="36"/>
      <c r="J152" s="36"/>
      <c r="K152" s="37"/>
      <c r="L152" s="37"/>
      <c r="M152" s="36"/>
      <c r="N152" s="36"/>
      <c r="O152" s="36"/>
      <c r="P152" s="37"/>
      <c r="Q152" s="36"/>
      <c r="R152" s="36"/>
      <c r="S152" s="39"/>
      <c r="T152" s="39"/>
      <c r="U152" s="41"/>
      <c r="V152" s="41"/>
      <c r="W152" s="41"/>
      <c r="X152" s="41"/>
      <c r="Y152" s="41"/>
      <c r="Z152" s="36"/>
      <c r="AA152" s="36"/>
      <c r="AB152" s="36"/>
      <c r="AC152" s="42"/>
      <c r="AD152" s="40"/>
      <c r="AE152" s="41"/>
      <c r="AF152" s="41"/>
      <c r="AG152" s="41"/>
      <c r="AH152" s="41"/>
      <c r="AI152" s="41"/>
      <c r="AJ152" s="36"/>
      <c r="AK152" s="36"/>
      <c r="AL152" s="36"/>
      <c r="AM152" s="42"/>
      <c r="AN152" s="43"/>
      <c r="AO152" s="44"/>
      <c r="AP152" s="41"/>
      <c r="AQ152" s="41"/>
      <c r="AR152" s="41"/>
      <c r="AS152" s="41"/>
      <c r="AT152" s="41"/>
      <c r="AU152" s="41"/>
      <c r="AV152" s="41"/>
      <c r="AW152" s="41"/>
      <c r="AX152" s="36"/>
      <c r="AY152" s="36"/>
      <c r="AZ152" s="36"/>
      <c r="BA152" s="36"/>
      <c r="BB152" s="36"/>
      <c r="BC152" s="36"/>
      <c r="BD152" s="36"/>
      <c r="BE152" s="41"/>
      <c r="BF152" s="41"/>
      <c r="BG152" s="41"/>
      <c r="BH152" s="41"/>
      <c r="BI152" s="42"/>
      <c r="BJ152" s="41"/>
      <c r="BK152" s="41"/>
      <c r="BL152" s="63"/>
      <c r="BM152" s="41"/>
      <c r="BN152" s="43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103"/>
      <c r="CG152" s="238"/>
      <c r="CH152" s="239"/>
      <c r="CI152" s="36"/>
      <c r="CJ152" s="36"/>
      <c r="CK152" s="36"/>
      <c r="CL152" s="36"/>
      <c r="CM152" s="36"/>
      <c r="CN152" s="36"/>
      <c r="CO152" s="36"/>
      <c r="CP152" s="36"/>
      <c r="CQ152" s="61"/>
      <c r="CR152" s="41"/>
      <c r="CS152" s="66"/>
      <c r="CT152" s="66"/>
      <c r="CU152" s="66"/>
      <c r="CV152" s="66"/>
      <c r="CW152" s="6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61"/>
      <c r="DL152" s="56"/>
      <c r="DM152" s="57"/>
      <c r="DN152" s="41"/>
      <c r="DO152" s="56"/>
      <c r="DP152" s="57"/>
      <c r="DQ152" s="57"/>
      <c r="DR152" s="41"/>
      <c r="DS152" s="41"/>
      <c r="DT152" s="41"/>
      <c r="DU152" s="41"/>
    </row>
    <row r="153" spans="1:125" s="48" customFormat="1" ht="16.5" customHeight="1" x14ac:dyDescent="0.3">
      <c r="A153" s="34"/>
      <c r="B153" s="35"/>
      <c r="C153" s="36"/>
      <c r="D153" s="36"/>
      <c r="E153" s="36"/>
      <c r="F153" s="36"/>
      <c r="G153" s="36"/>
      <c r="H153" s="36"/>
      <c r="I153" s="36"/>
      <c r="J153" s="36"/>
      <c r="K153" s="37"/>
      <c r="L153" s="37"/>
      <c r="M153" s="36"/>
      <c r="N153" s="36"/>
      <c r="O153" s="36"/>
      <c r="P153" s="37"/>
      <c r="Q153" s="36"/>
      <c r="R153" s="36"/>
      <c r="S153" s="39"/>
      <c r="T153" s="39"/>
      <c r="U153" s="41"/>
      <c r="V153" s="41"/>
      <c r="W153" s="41"/>
      <c r="X153" s="41"/>
      <c r="Y153" s="41"/>
      <c r="Z153" s="36"/>
      <c r="AA153" s="36"/>
      <c r="AB153" s="36"/>
      <c r="AC153" s="42"/>
      <c r="AD153" s="40"/>
      <c r="AE153" s="41"/>
      <c r="AF153" s="41"/>
      <c r="AG153" s="41"/>
      <c r="AH153" s="41"/>
      <c r="AI153" s="41"/>
      <c r="AJ153" s="36"/>
      <c r="AK153" s="36"/>
      <c r="AL153" s="36"/>
      <c r="AM153" s="42"/>
      <c r="AN153" s="43"/>
      <c r="AO153" s="44"/>
      <c r="AP153" s="41"/>
      <c r="AQ153" s="41"/>
      <c r="AR153" s="41"/>
      <c r="AS153" s="41"/>
      <c r="AT153" s="41"/>
      <c r="AU153" s="41"/>
      <c r="AV153" s="41"/>
      <c r="AW153" s="41"/>
      <c r="AX153" s="36"/>
      <c r="AY153" s="36"/>
      <c r="AZ153" s="36"/>
      <c r="BA153" s="36"/>
      <c r="BB153" s="36"/>
      <c r="BC153" s="36"/>
      <c r="BD153" s="36"/>
      <c r="BE153" s="41"/>
      <c r="BF153" s="41"/>
      <c r="BG153" s="41"/>
      <c r="BH153" s="41"/>
      <c r="BI153" s="42"/>
      <c r="BJ153" s="41"/>
      <c r="BK153" s="41"/>
      <c r="BL153" s="63"/>
      <c r="BM153" s="41"/>
      <c r="BN153" s="43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103"/>
      <c r="CG153" s="238"/>
      <c r="CH153" s="239"/>
      <c r="CI153" s="36"/>
      <c r="CJ153" s="36"/>
      <c r="CK153" s="36"/>
      <c r="CL153" s="36"/>
      <c r="CM153" s="36"/>
      <c r="CN153" s="36"/>
      <c r="CO153" s="36"/>
      <c r="CP153" s="36"/>
      <c r="CQ153" s="61"/>
      <c r="CR153" s="41"/>
      <c r="CS153" s="66"/>
      <c r="CT153" s="66"/>
      <c r="CU153" s="66"/>
      <c r="CV153" s="66"/>
      <c r="CW153" s="6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61"/>
      <c r="DL153" s="56"/>
      <c r="DM153" s="57"/>
      <c r="DN153" s="41"/>
      <c r="DO153" s="56"/>
      <c r="DP153" s="57"/>
      <c r="DQ153" s="57"/>
      <c r="DR153" s="41"/>
      <c r="DS153" s="41"/>
      <c r="DT153" s="41"/>
      <c r="DU153" s="41"/>
    </row>
    <row r="154" spans="1:125" s="48" customFormat="1" ht="16.5" customHeight="1" x14ac:dyDescent="0.3">
      <c r="A154" s="34"/>
      <c r="B154" s="35"/>
      <c r="C154" s="36"/>
      <c r="D154" s="36"/>
      <c r="E154" s="36"/>
      <c r="F154" s="36"/>
      <c r="G154" s="36"/>
      <c r="H154" s="36"/>
      <c r="I154" s="36"/>
      <c r="J154" s="36"/>
      <c r="K154" s="37"/>
      <c r="L154" s="37"/>
      <c r="M154" s="36"/>
      <c r="N154" s="36"/>
      <c r="O154" s="36"/>
      <c r="P154" s="37"/>
      <c r="Q154" s="36"/>
      <c r="R154" s="36"/>
      <c r="S154" s="39"/>
      <c r="T154" s="39"/>
      <c r="U154" s="41"/>
      <c r="V154" s="41"/>
      <c r="W154" s="41"/>
      <c r="X154" s="41"/>
      <c r="Y154" s="41"/>
      <c r="Z154" s="36"/>
      <c r="AA154" s="36"/>
      <c r="AB154" s="36"/>
      <c r="AC154" s="42"/>
      <c r="AD154" s="40"/>
      <c r="AE154" s="41"/>
      <c r="AF154" s="41"/>
      <c r="AG154" s="41"/>
      <c r="AH154" s="41"/>
      <c r="AI154" s="41"/>
      <c r="AJ154" s="36"/>
      <c r="AK154" s="36"/>
      <c r="AL154" s="36"/>
      <c r="AM154" s="42"/>
      <c r="AN154" s="43"/>
      <c r="AO154" s="44"/>
      <c r="AP154" s="41"/>
      <c r="AQ154" s="41"/>
      <c r="AR154" s="41"/>
      <c r="AS154" s="41"/>
      <c r="AT154" s="41"/>
      <c r="AU154" s="41"/>
      <c r="AV154" s="41"/>
      <c r="AW154" s="41"/>
      <c r="AX154" s="36"/>
      <c r="AY154" s="36"/>
      <c r="AZ154" s="36"/>
      <c r="BA154" s="36"/>
      <c r="BB154" s="36"/>
      <c r="BC154" s="36"/>
      <c r="BD154" s="36"/>
      <c r="BE154" s="41"/>
      <c r="BF154" s="41"/>
      <c r="BG154" s="41"/>
      <c r="BH154" s="41"/>
      <c r="BI154" s="42"/>
      <c r="BJ154" s="41"/>
      <c r="BK154" s="41"/>
      <c r="BL154" s="63"/>
      <c r="BM154" s="41"/>
      <c r="BN154" s="43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103"/>
      <c r="CG154" s="238"/>
      <c r="CH154" s="239"/>
      <c r="CI154" s="36"/>
      <c r="CJ154" s="36"/>
      <c r="CK154" s="36"/>
      <c r="CL154" s="36"/>
      <c r="CM154" s="36"/>
      <c r="CN154" s="36"/>
      <c r="CO154" s="36"/>
      <c r="CP154" s="36"/>
      <c r="CQ154" s="61"/>
      <c r="CR154" s="41"/>
      <c r="CS154" s="66"/>
      <c r="CT154" s="66"/>
      <c r="CU154" s="66"/>
      <c r="CV154" s="66"/>
      <c r="CW154" s="6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61"/>
      <c r="DL154" s="56"/>
      <c r="DM154" s="57"/>
      <c r="DN154" s="41"/>
      <c r="DO154" s="56"/>
      <c r="DP154" s="57"/>
      <c r="DQ154" s="57"/>
      <c r="DR154" s="41"/>
      <c r="DS154" s="41"/>
      <c r="DT154" s="41"/>
      <c r="DU154" s="41"/>
    </row>
    <row r="155" spans="1:125" s="48" customFormat="1" ht="16.5" customHeight="1" x14ac:dyDescent="0.3">
      <c r="A155" s="34"/>
      <c r="B155" s="35"/>
      <c r="C155" s="36"/>
      <c r="D155" s="36"/>
      <c r="E155" s="36"/>
      <c r="F155" s="36"/>
      <c r="G155" s="36"/>
      <c r="H155" s="36"/>
      <c r="I155" s="36"/>
      <c r="J155" s="36"/>
      <c r="K155" s="37"/>
      <c r="L155" s="37"/>
      <c r="M155" s="36"/>
      <c r="N155" s="36"/>
      <c r="O155" s="36"/>
      <c r="P155" s="37"/>
      <c r="Q155" s="36"/>
      <c r="R155" s="36"/>
      <c r="S155" s="39"/>
      <c r="T155" s="39"/>
      <c r="U155" s="41"/>
      <c r="V155" s="41"/>
      <c r="W155" s="41"/>
      <c r="X155" s="41"/>
      <c r="Y155" s="41"/>
      <c r="Z155" s="36"/>
      <c r="AA155" s="36"/>
      <c r="AB155" s="36"/>
      <c r="AC155" s="42"/>
      <c r="AD155" s="40"/>
      <c r="AE155" s="41"/>
      <c r="AF155" s="41"/>
      <c r="AG155" s="41"/>
      <c r="AH155" s="41"/>
      <c r="AI155" s="41"/>
      <c r="AJ155" s="36"/>
      <c r="AK155" s="36"/>
      <c r="AL155" s="36"/>
      <c r="AM155" s="42"/>
      <c r="AN155" s="43"/>
      <c r="AO155" s="44"/>
      <c r="AP155" s="41"/>
      <c r="AQ155" s="41"/>
      <c r="AR155" s="41"/>
      <c r="AS155" s="41"/>
      <c r="AT155" s="41"/>
      <c r="AU155" s="41"/>
      <c r="AV155" s="41"/>
      <c r="AW155" s="41"/>
      <c r="AX155" s="36"/>
      <c r="AY155" s="36"/>
      <c r="AZ155" s="36"/>
      <c r="BA155" s="36"/>
      <c r="BB155" s="36"/>
      <c r="BC155" s="36"/>
      <c r="BD155" s="36"/>
      <c r="BE155" s="41"/>
      <c r="BF155" s="41"/>
      <c r="BG155" s="41"/>
      <c r="BH155" s="41"/>
      <c r="BI155" s="42"/>
      <c r="BJ155" s="41"/>
      <c r="BK155" s="41"/>
      <c r="BL155" s="63"/>
      <c r="BM155" s="41"/>
      <c r="BN155" s="43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103"/>
      <c r="CG155" s="238"/>
      <c r="CH155" s="239"/>
      <c r="CI155" s="36"/>
      <c r="CJ155" s="36"/>
      <c r="CK155" s="36"/>
      <c r="CL155" s="36"/>
      <c r="CM155" s="36"/>
      <c r="CN155" s="36"/>
      <c r="CO155" s="36"/>
      <c r="CP155" s="36"/>
      <c r="CQ155" s="61"/>
      <c r="CR155" s="41"/>
      <c r="CS155" s="66"/>
      <c r="CT155" s="66"/>
      <c r="CU155" s="66"/>
      <c r="CV155" s="66"/>
      <c r="CW155" s="6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61"/>
      <c r="DL155" s="56"/>
      <c r="DM155" s="57"/>
      <c r="DN155" s="41"/>
      <c r="DO155" s="56"/>
      <c r="DP155" s="57"/>
      <c r="DQ155" s="57"/>
      <c r="DR155" s="41"/>
      <c r="DS155" s="41"/>
      <c r="DT155" s="41"/>
      <c r="DU155" s="41"/>
    </row>
    <row r="156" spans="1:125" s="48" customFormat="1" ht="16.5" customHeight="1" x14ac:dyDescent="0.3">
      <c r="A156" s="34"/>
      <c r="B156" s="35"/>
      <c r="C156" s="36"/>
      <c r="D156" s="36"/>
      <c r="E156" s="36"/>
      <c r="F156" s="36"/>
      <c r="G156" s="36"/>
      <c r="H156" s="36"/>
      <c r="I156" s="36"/>
      <c r="J156" s="36"/>
      <c r="K156" s="37"/>
      <c r="L156" s="37"/>
      <c r="M156" s="36"/>
      <c r="N156" s="36"/>
      <c r="O156" s="36"/>
      <c r="P156" s="37"/>
      <c r="Q156" s="36"/>
      <c r="R156" s="36"/>
      <c r="S156" s="39"/>
      <c r="T156" s="39"/>
      <c r="U156" s="41"/>
      <c r="V156" s="41"/>
      <c r="W156" s="41"/>
      <c r="X156" s="41"/>
      <c r="Y156" s="41"/>
      <c r="Z156" s="36"/>
      <c r="AA156" s="36"/>
      <c r="AB156" s="36"/>
      <c r="AC156" s="42"/>
      <c r="AD156" s="40"/>
      <c r="AE156" s="41"/>
      <c r="AF156" s="41"/>
      <c r="AG156" s="41"/>
      <c r="AH156" s="41"/>
      <c r="AI156" s="41"/>
      <c r="AJ156" s="36"/>
      <c r="AK156" s="36"/>
      <c r="AL156" s="36"/>
      <c r="AM156" s="42"/>
      <c r="AN156" s="43"/>
      <c r="AO156" s="44"/>
      <c r="AP156" s="41"/>
      <c r="AQ156" s="41"/>
      <c r="AR156" s="41"/>
      <c r="AS156" s="41"/>
      <c r="AT156" s="41"/>
      <c r="AU156" s="41"/>
      <c r="AV156" s="41"/>
      <c r="AW156" s="41"/>
      <c r="AX156" s="36"/>
      <c r="AY156" s="36"/>
      <c r="AZ156" s="36"/>
      <c r="BA156" s="36"/>
      <c r="BB156" s="36"/>
      <c r="BC156" s="36"/>
      <c r="BD156" s="36"/>
      <c r="BE156" s="41"/>
      <c r="BF156" s="41"/>
      <c r="BG156" s="41"/>
      <c r="BH156" s="41"/>
      <c r="BI156" s="42"/>
      <c r="BJ156" s="41"/>
      <c r="BK156" s="41"/>
      <c r="BL156" s="63"/>
      <c r="BM156" s="41"/>
      <c r="BN156" s="43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103"/>
      <c r="CG156" s="238"/>
      <c r="CH156" s="239"/>
      <c r="CI156" s="36"/>
      <c r="CJ156" s="36"/>
      <c r="CK156" s="36"/>
      <c r="CL156" s="36"/>
      <c r="CM156" s="36"/>
      <c r="CN156" s="36"/>
      <c r="CO156" s="36"/>
      <c r="CP156" s="36"/>
      <c r="CQ156" s="61"/>
      <c r="CR156" s="41"/>
      <c r="CS156" s="66"/>
      <c r="CT156" s="66"/>
      <c r="CU156" s="66"/>
      <c r="CV156" s="66"/>
      <c r="CW156" s="6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61"/>
      <c r="DL156" s="56"/>
      <c r="DM156" s="57"/>
      <c r="DN156" s="41"/>
      <c r="DO156" s="56"/>
      <c r="DP156" s="57"/>
      <c r="DQ156" s="57"/>
      <c r="DR156" s="41"/>
      <c r="DS156" s="41"/>
      <c r="DT156" s="41"/>
      <c r="DU156" s="41"/>
    </row>
    <row r="157" spans="1:125" s="48" customFormat="1" ht="16.5" customHeight="1" x14ac:dyDescent="0.3">
      <c r="A157" s="34"/>
      <c r="B157" s="35"/>
      <c r="C157" s="36"/>
      <c r="D157" s="36"/>
      <c r="E157" s="36"/>
      <c r="F157" s="36"/>
      <c r="G157" s="36"/>
      <c r="H157" s="36"/>
      <c r="I157" s="36"/>
      <c r="J157" s="36"/>
      <c r="K157" s="37"/>
      <c r="L157" s="37"/>
      <c r="M157" s="36"/>
      <c r="N157" s="36"/>
      <c r="O157" s="36"/>
      <c r="P157" s="37"/>
      <c r="Q157" s="36"/>
      <c r="R157" s="36"/>
      <c r="S157" s="39"/>
      <c r="T157" s="39"/>
      <c r="U157" s="41"/>
      <c r="V157" s="41"/>
      <c r="W157" s="41"/>
      <c r="X157" s="41"/>
      <c r="Y157" s="41"/>
      <c r="Z157" s="36"/>
      <c r="AA157" s="36"/>
      <c r="AB157" s="36"/>
      <c r="AC157" s="42"/>
      <c r="AD157" s="40"/>
      <c r="AE157" s="41"/>
      <c r="AF157" s="41"/>
      <c r="AG157" s="41"/>
      <c r="AH157" s="41"/>
      <c r="AI157" s="41"/>
      <c r="AJ157" s="36"/>
      <c r="AK157" s="36"/>
      <c r="AL157" s="36"/>
      <c r="AM157" s="42"/>
      <c r="AN157" s="43"/>
      <c r="AO157" s="44"/>
      <c r="AP157" s="41"/>
      <c r="AQ157" s="41"/>
      <c r="AR157" s="41"/>
      <c r="AS157" s="41"/>
      <c r="AT157" s="41"/>
      <c r="AU157" s="41"/>
      <c r="AV157" s="41"/>
      <c r="AW157" s="41"/>
      <c r="AX157" s="36"/>
      <c r="AY157" s="36"/>
      <c r="AZ157" s="36"/>
      <c r="BA157" s="36"/>
      <c r="BB157" s="36"/>
      <c r="BC157" s="36"/>
      <c r="BD157" s="36"/>
      <c r="BE157" s="41"/>
      <c r="BF157" s="41"/>
      <c r="BG157" s="41"/>
      <c r="BH157" s="41"/>
      <c r="BI157" s="42"/>
      <c r="BJ157" s="41"/>
      <c r="BK157" s="41"/>
      <c r="BL157" s="63"/>
      <c r="BM157" s="41"/>
      <c r="BN157" s="43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103"/>
      <c r="CG157" s="238"/>
      <c r="CH157" s="239"/>
      <c r="CI157" s="36"/>
      <c r="CJ157" s="36"/>
      <c r="CK157" s="36"/>
      <c r="CL157" s="36"/>
      <c r="CM157" s="36"/>
      <c r="CN157" s="36"/>
      <c r="CO157" s="36"/>
      <c r="CP157" s="36"/>
      <c r="CQ157" s="61"/>
      <c r="CR157" s="41"/>
      <c r="CS157" s="66"/>
      <c r="CT157" s="66"/>
      <c r="CU157" s="66"/>
      <c r="CV157" s="66"/>
      <c r="CW157" s="6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61"/>
      <c r="DL157" s="56"/>
      <c r="DM157" s="57"/>
      <c r="DN157" s="41"/>
      <c r="DO157" s="56"/>
      <c r="DP157" s="57"/>
      <c r="DQ157" s="57"/>
      <c r="DR157" s="41"/>
      <c r="DS157" s="41"/>
      <c r="DT157" s="41"/>
      <c r="DU157" s="41"/>
    </row>
    <row r="158" spans="1:125" s="48" customFormat="1" ht="16.5" customHeight="1" x14ac:dyDescent="0.3">
      <c r="A158" s="34"/>
      <c r="B158" s="35"/>
      <c r="C158" s="36"/>
      <c r="D158" s="36"/>
      <c r="E158" s="36"/>
      <c r="F158" s="36"/>
      <c r="G158" s="36"/>
      <c r="H158" s="36"/>
      <c r="I158" s="36"/>
      <c r="J158" s="36"/>
      <c r="K158" s="37"/>
      <c r="L158" s="37"/>
      <c r="M158" s="36"/>
      <c r="N158" s="36"/>
      <c r="O158" s="36"/>
      <c r="P158" s="37"/>
      <c r="Q158" s="36"/>
      <c r="R158" s="36"/>
      <c r="S158" s="39"/>
      <c r="T158" s="39"/>
      <c r="U158" s="41"/>
      <c r="V158" s="41"/>
      <c r="W158" s="41"/>
      <c r="X158" s="41"/>
      <c r="Y158" s="41"/>
      <c r="Z158" s="36"/>
      <c r="AA158" s="36"/>
      <c r="AB158" s="36"/>
      <c r="AC158" s="42"/>
      <c r="AD158" s="40"/>
      <c r="AE158" s="41"/>
      <c r="AF158" s="41"/>
      <c r="AG158" s="41"/>
      <c r="AH158" s="41"/>
      <c r="AI158" s="41"/>
      <c r="AJ158" s="36"/>
      <c r="AK158" s="36"/>
      <c r="AL158" s="36"/>
      <c r="AM158" s="42"/>
      <c r="AN158" s="43"/>
      <c r="AO158" s="44"/>
      <c r="AP158" s="41"/>
      <c r="AQ158" s="41"/>
      <c r="AR158" s="41"/>
      <c r="AS158" s="41"/>
      <c r="AT158" s="41"/>
      <c r="AU158" s="41"/>
      <c r="AV158" s="41"/>
      <c r="AW158" s="41"/>
      <c r="AX158" s="36"/>
      <c r="AY158" s="36"/>
      <c r="AZ158" s="36"/>
      <c r="BA158" s="36"/>
      <c r="BB158" s="36"/>
      <c r="BC158" s="36"/>
      <c r="BD158" s="36"/>
      <c r="BE158" s="41"/>
      <c r="BF158" s="41"/>
      <c r="BG158" s="41"/>
      <c r="BH158" s="41"/>
      <c r="BI158" s="42"/>
      <c r="BJ158" s="41"/>
      <c r="BK158" s="41"/>
      <c r="BL158" s="63"/>
      <c r="BM158" s="41"/>
      <c r="BN158" s="43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103"/>
      <c r="CG158" s="238"/>
      <c r="CH158" s="239"/>
      <c r="CI158" s="36"/>
      <c r="CJ158" s="36"/>
      <c r="CK158" s="36"/>
      <c r="CL158" s="36"/>
      <c r="CM158" s="36"/>
      <c r="CN158" s="36"/>
      <c r="CO158" s="36"/>
      <c r="CP158" s="36"/>
      <c r="CQ158" s="61"/>
      <c r="CR158" s="41"/>
      <c r="CS158" s="66"/>
      <c r="CT158" s="66"/>
      <c r="CU158" s="66"/>
      <c r="CV158" s="66"/>
      <c r="CW158" s="6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61"/>
      <c r="DL158" s="56"/>
      <c r="DM158" s="57"/>
      <c r="DN158" s="41"/>
      <c r="DO158" s="56"/>
      <c r="DP158" s="57"/>
      <c r="DQ158" s="57"/>
      <c r="DR158" s="41"/>
      <c r="DS158" s="41"/>
      <c r="DT158" s="41"/>
      <c r="DU158" s="41"/>
    </row>
    <row r="159" spans="1:125" s="48" customFormat="1" ht="16.5" customHeight="1" x14ac:dyDescent="0.3">
      <c r="A159" s="34"/>
      <c r="B159" s="35"/>
      <c r="C159" s="36"/>
      <c r="D159" s="36"/>
      <c r="E159" s="36"/>
      <c r="F159" s="36"/>
      <c r="G159" s="36"/>
      <c r="H159" s="36"/>
      <c r="I159" s="36"/>
      <c r="J159" s="36"/>
      <c r="K159" s="37"/>
      <c r="L159" s="37"/>
      <c r="M159" s="36"/>
      <c r="N159" s="36"/>
      <c r="O159" s="36"/>
      <c r="P159" s="37"/>
      <c r="Q159" s="36"/>
      <c r="R159" s="36"/>
      <c r="S159" s="39"/>
      <c r="T159" s="39"/>
      <c r="U159" s="41"/>
      <c r="V159" s="41"/>
      <c r="W159" s="41"/>
      <c r="X159" s="41"/>
      <c r="Y159" s="41"/>
      <c r="Z159" s="36"/>
      <c r="AA159" s="36"/>
      <c r="AB159" s="36"/>
      <c r="AC159" s="42"/>
      <c r="AD159" s="40"/>
      <c r="AE159" s="41"/>
      <c r="AF159" s="41"/>
      <c r="AG159" s="41"/>
      <c r="AH159" s="41"/>
      <c r="AI159" s="41"/>
      <c r="AJ159" s="36"/>
      <c r="AK159" s="36"/>
      <c r="AL159" s="36"/>
      <c r="AM159" s="42"/>
      <c r="AN159" s="43"/>
      <c r="AO159" s="44"/>
      <c r="AP159" s="41"/>
      <c r="AQ159" s="41"/>
      <c r="AR159" s="41"/>
      <c r="AS159" s="41"/>
      <c r="AT159" s="41"/>
      <c r="AU159" s="41"/>
      <c r="AV159" s="41"/>
      <c r="AW159" s="41"/>
      <c r="AX159" s="36"/>
      <c r="AY159" s="36"/>
      <c r="AZ159" s="36"/>
      <c r="BA159" s="36"/>
      <c r="BB159" s="36"/>
      <c r="BC159" s="36"/>
      <c r="BD159" s="36"/>
      <c r="BE159" s="41"/>
      <c r="BF159" s="41"/>
      <c r="BG159" s="41"/>
      <c r="BH159" s="41"/>
      <c r="BI159" s="42"/>
      <c r="BJ159" s="41"/>
      <c r="BK159" s="41"/>
      <c r="BL159" s="63"/>
      <c r="BM159" s="41"/>
      <c r="BN159" s="43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103"/>
      <c r="CG159" s="238"/>
      <c r="CH159" s="239"/>
      <c r="CI159" s="36"/>
      <c r="CJ159" s="36"/>
      <c r="CK159" s="36"/>
      <c r="CL159" s="36"/>
      <c r="CM159" s="36"/>
      <c r="CN159" s="36"/>
      <c r="CO159" s="36"/>
      <c r="CP159" s="36"/>
      <c r="CQ159" s="61"/>
      <c r="CR159" s="41"/>
      <c r="CS159" s="66"/>
      <c r="CT159" s="66"/>
      <c r="CU159" s="66"/>
      <c r="CV159" s="66"/>
      <c r="CW159" s="6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61"/>
      <c r="DL159" s="56"/>
      <c r="DM159" s="57"/>
      <c r="DN159" s="41"/>
      <c r="DO159" s="56"/>
      <c r="DP159" s="57"/>
      <c r="DQ159" s="57"/>
      <c r="DR159" s="41"/>
      <c r="DS159" s="41"/>
      <c r="DT159" s="41"/>
      <c r="DU159" s="41"/>
    </row>
    <row r="160" spans="1:125" s="48" customFormat="1" ht="16.5" customHeight="1" x14ac:dyDescent="0.3">
      <c r="A160" s="34"/>
      <c r="B160" s="35"/>
      <c r="C160" s="36"/>
      <c r="D160" s="36"/>
      <c r="E160" s="36"/>
      <c r="F160" s="36"/>
      <c r="G160" s="36"/>
      <c r="H160" s="36"/>
      <c r="I160" s="36"/>
      <c r="J160" s="36"/>
      <c r="K160" s="37"/>
      <c r="L160" s="37"/>
      <c r="M160" s="36"/>
      <c r="N160" s="36"/>
      <c r="O160" s="36"/>
      <c r="P160" s="37"/>
      <c r="Q160" s="36"/>
      <c r="R160" s="36"/>
      <c r="S160" s="39"/>
      <c r="T160" s="39"/>
      <c r="U160" s="41"/>
      <c r="V160" s="41"/>
      <c r="W160" s="41"/>
      <c r="X160" s="41"/>
      <c r="Y160" s="41"/>
      <c r="Z160" s="36"/>
      <c r="AA160" s="36"/>
      <c r="AB160" s="36"/>
      <c r="AC160" s="42"/>
      <c r="AD160" s="40"/>
      <c r="AE160" s="41"/>
      <c r="AF160" s="41"/>
      <c r="AG160" s="41"/>
      <c r="AH160" s="41"/>
      <c r="AI160" s="41"/>
      <c r="AJ160" s="36"/>
      <c r="AK160" s="36"/>
      <c r="AL160" s="36"/>
      <c r="AM160" s="42"/>
      <c r="AN160" s="43"/>
      <c r="AO160" s="44"/>
      <c r="AP160" s="41"/>
      <c r="AQ160" s="41"/>
      <c r="AR160" s="41"/>
      <c r="AS160" s="41"/>
      <c r="AT160" s="41"/>
      <c r="AU160" s="41"/>
      <c r="AV160" s="41"/>
      <c r="AW160" s="41"/>
      <c r="AX160" s="36"/>
      <c r="AY160" s="36"/>
      <c r="AZ160" s="36"/>
      <c r="BA160" s="36"/>
      <c r="BB160" s="36"/>
      <c r="BC160" s="36"/>
      <c r="BD160" s="36"/>
      <c r="BE160" s="41"/>
      <c r="BF160" s="41"/>
      <c r="BG160" s="41"/>
      <c r="BH160" s="41"/>
      <c r="BI160" s="42"/>
      <c r="BJ160" s="41"/>
      <c r="BK160" s="41"/>
      <c r="BL160" s="63"/>
      <c r="BM160" s="41"/>
      <c r="BN160" s="43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103"/>
      <c r="CG160" s="238"/>
      <c r="CH160" s="239"/>
      <c r="CI160" s="36"/>
      <c r="CJ160" s="36"/>
      <c r="CK160" s="36"/>
      <c r="CL160" s="36"/>
      <c r="CM160" s="36"/>
      <c r="CN160" s="36"/>
      <c r="CO160" s="36"/>
      <c r="CP160" s="36"/>
      <c r="CQ160" s="61"/>
      <c r="CR160" s="41"/>
      <c r="CS160" s="66"/>
      <c r="CT160" s="66"/>
      <c r="CU160" s="66"/>
      <c r="CV160" s="66"/>
      <c r="CW160" s="6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61"/>
      <c r="DL160" s="56"/>
      <c r="DM160" s="57"/>
      <c r="DN160" s="41"/>
      <c r="DO160" s="56"/>
      <c r="DP160" s="57"/>
      <c r="DQ160" s="57"/>
      <c r="DR160" s="41"/>
      <c r="DS160" s="41"/>
      <c r="DT160" s="41"/>
      <c r="DU160" s="41"/>
    </row>
    <row r="161" spans="1:125" s="48" customFormat="1" ht="16.5" customHeight="1" x14ac:dyDescent="0.3">
      <c r="A161" s="34"/>
      <c r="B161" s="35"/>
      <c r="C161" s="36"/>
      <c r="D161" s="36"/>
      <c r="E161" s="36"/>
      <c r="F161" s="36"/>
      <c r="G161" s="36"/>
      <c r="H161" s="36"/>
      <c r="I161" s="36"/>
      <c r="J161" s="36"/>
      <c r="K161" s="37"/>
      <c r="L161" s="37"/>
      <c r="M161" s="36"/>
      <c r="N161" s="36"/>
      <c r="O161" s="36"/>
      <c r="P161" s="37"/>
      <c r="Q161" s="36"/>
      <c r="R161" s="36"/>
      <c r="S161" s="39"/>
      <c r="T161" s="39"/>
      <c r="U161" s="41"/>
      <c r="V161" s="41"/>
      <c r="W161" s="41"/>
      <c r="X161" s="41"/>
      <c r="Y161" s="41"/>
      <c r="Z161" s="36"/>
      <c r="AA161" s="36"/>
      <c r="AB161" s="36"/>
      <c r="AC161" s="42"/>
      <c r="AD161" s="40"/>
      <c r="AE161" s="41"/>
      <c r="AF161" s="41"/>
      <c r="AG161" s="41"/>
      <c r="AH161" s="41"/>
      <c r="AI161" s="41"/>
      <c r="AJ161" s="36"/>
      <c r="AK161" s="36"/>
      <c r="AL161" s="36"/>
      <c r="AM161" s="42"/>
      <c r="AN161" s="43"/>
      <c r="AO161" s="44"/>
      <c r="AP161" s="41"/>
      <c r="AQ161" s="41"/>
      <c r="AR161" s="41"/>
      <c r="AS161" s="41"/>
      <c r="AT161" s="41"/>
      <c r="AU161" s="41"/>
      <c r="AV161" s="41"/>
      <c r="AW161" s="41"/>
      <c r="AX161" s="36"/>
      <c r="AY161" s="36"/>
      <c r="AZ161" s="36"/>
      <c r="BA161" s="36"/>
      <c r="BB161" s="36"/>
      <c r="BC161" s="36"/>
      <c r="BD161" s="36"/>
      <c r="BE161" s="41"/>
      <c r="BF161" s="41"/>
      <c r="BG161" s="41"/>
      <c r="BH161" s="41"/>
      <c r="BI161" s="42"/>
      <c r="BJ161" s="41"/>
      <c r="BK161" s="41"/>
      <c r="BL161" s="63"/>
      <c r="BM161" s="41"/>
      <c r="BN161" s="43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103"/>
      <c r="CG161" s="238"/>
      <c r="CH161" s="239"/>
      <c r="CI161" s="36"/>
      <c r="CJ161" s="36"/>
      <c r="CK161" s="36"/>
      <c r="CL161" s="36"/>
      <c r="CM161" s="36"/>
      <c r="CN161" s="36"/>
      <c r="CO161" s="36"/>
      <c r="CP161" s="36"/>
      <c r="CQ161" s="61"/>
      <c r="CR161" s="41"/>
      <c r="CS161" s="66"/>
      <c r="CT161" s="66"/>
      <c r="CU161" s="66"/>
      <c r="CV161" s="66"/>
      <c r="CW161" s="6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61"/>
      <c r="DL161" s="56"/>
      <c r="DM161" s="57"/>
      <c r="DN161" s="41"/>
      <c r="DO161" s="56"/>
      <c r="DP161" s="57"/>
      <c r="DQ161" s="57"/>
      <c r="DR161" s="41"/>
      <c r="DS161" s="41"/>
      <c r="DT161" s="41"/>
      <c r="DU161" s="41"/>
    </row>
    <row r="162" spans="1:125" s="48" customFormat="1" ht="16.5" customHeight="1" x14ac:dyDescent="0.3">
      <c r="A162" s="34"/>
      <c r="B162" s="35"/>
      <c r="C162" s="36"/>
      <c r="D162" s="36"/>
      <c r="E162" s="36"/>
      <c r="F162" s="36"/>
      <c r="G162" s="36"/>
      <c r="H162" s="36"/>
      <c r="I162" s="36"/>
      <c r="J162" s="36"/>
      <c r="K162" s="37"/>
      <c r="L162" s="37"/>
      <c r="M162" s="36"/>
      <c r="N162" s="36"/>
      <c r="O162" s="36"/>
      <c r="P162" s="37"/>
      <c r="Q162" s="36"/>
      <c r="R162" s="36"/>
      <c r="S162" s="39"/>
      <c r="T162" s="39"/>
      <c r="U162" s="41"/>
      <c r="V162" s="41"/>
      <c r="W162" s="41"/>
      <c r="X162" s="41"/>
      <c r="Y162" s="41"/>
      <c r="Z162" s="36"/>
      <c r="AA162" s="36"/>
      <c r="AB162" s="36"/>
      <c r="AC162" s="42"/>
      <c r="AD162" s="40"/>
      <c r="AE162" s="41"/>
      <c r="AF162" s="41"/>
      <c r="AG162" s="41"/>
      <c r="AH162" s="41"/>
      <c r="AI162" s="41"/>
      <c r="AJ162" s="36"/>
      <c r="AK162" s="36"/>
      <c r="AL162" s="36"/>
      <c r="AM162" s="42"/>
      <c r="AN162" s="43"/>
      <c r="AO162" s="44"/>
      <c r="AP162" s="41"/>
      <c r="AQ162" s="41"/>
      <c r="AR162" s="41"/>
      <c r="AS162" s="41"/>
      <c r="AT162" s="41"/>
      <c r="AU162" s="41"/>
      <c r="AV162" s="41"/>
      <c r="AW162" s="41"/>
      <c r="AX162" s="36"/>
      <c r="AY162" s="36"/>
      <c r="AZ162" s="36"/>
      <c r="BA162" s="36"/>
      <c r="BB162" s="36"/>
      <c r="BC162" s="36"/>
      <c r="BD162" s="36"/>
      <c r="BE162" s="41"/>
      <c r="BF162" s="41"/>
      <c r="BG162" s="41"/>
      <c r="BH162" s="41"/>
      <c r="BI162" s="42"/>
      <c r="BJ162" s="41"/>
      <c r="BK162" s="41"/>
      <c r="BL162" s="63"/>
      <c r="BM162" s="41"/>
      <c r="BN162" s="43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103"/>
      <c r="CG162" s="238"/>
      <c r="CH162" s="239"/>
      <c r="CI162" s="36"/>
      <c r="CJ162" s="36"/>
      <c r="CK162" s="36"/>
      <c r="CL162" s="36"/>
      <c r="CM162" s="36"/>
      <c r="CN162" s="36"/>
      <c r="CO162" s="36"/>
      <c r="CP162" s="36"/>
      <c r="CQ162" s="61"/>
      <c r="CR162" s="41"/>
      <c r="CS162" s="66"/>
      <c r="CT162" s="66"/>
      <c r="CU162" s="66"/>
      <c r="CV162" s="66"/>
      <c r="CW162" s="6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61"/>
      <c r="DL162" s="56"/>
      <c r="DM162" s="57"/>
      <c r="DN162" s="41"/>
      <c r="DO162" s="56"/>
      <c r="DP162" s="57"/>
      <c r="DQ162" s="57"/>
      <c r="DR162" s="41"/>
      <c r="DS162" s="41"/>
      <c r="DT162" s="41"/>
      <c r="DU162" s="41"/>
    </row>
    <row r="163" spans="1:125" s="48" customFormat="1" ht="16.5" customHeight="1" x14ac:dyDescent="0.3">
      <c r="A163" s="34"/>
      <c r="B163" s="35"/>
      <c r="C163" s="36"/>
      <c r="D163" s="36"/>
      <c r="E163" s="36"/>
      <c r="F163" s="36"/>
      <c r="G163" s="36"/>
      <c r="H163" s="36"/>
      <c r="I163" s="36"/>
      <c r="J163" s="36"/>
      <c r="K163" s="37"/>
      <c r="L163" s="37"/>
      <c r="M163" s="36"/>
      <c r="N163" s="36"/>
      <c r="O163" s="36"/>
      <c r="P163" s="37"/>
      <c r="Q163" s="36"/>
      <c r="R163" s="36"/>
      <c r="S163" s="39"/>
      <c r="T163" s="39"/>
      <c r="U163" s="41"/>
      <c r="V163" s="41"/>
      <c r="W163" s="41"/>
      <c r="X163" s="41"/>
      <c r="Y163" s="41"/>
      <c r="Z163" s="36"/>
      <c r="AA163" s="36"/>
      <c r="AB163" s="36"/>
      <c r="AC163" s="42"/>
      <c r="AD163" s="40"/>
      <c r="AE163" s="41"/>
      <c r="AF163" s="41"/>
      <c r="AG163" s="41"/>
      <c r="AH163" s="41"/>
      <c r="AI163" s="41"/>
      <c r="AJ163" s="36"/>
      <c r="AK163" s="36"/>
      <c r="AL163" s="36"/>
      <c r="AM163" s="42"/>
      <c r="AN163" s="43"/>
      <c r="AO163" s="44"/>
      <c r="AP163" s="41"/>
      <c r="AQ163" s="41"/>
      <c r="AR163" s="41"/>
      <c r="AS163" s="41"/>
      <c r="AT163" s="41"/>
      <c r="AU163" s="41"/>
      <c r="AV163" s="41"/>
      <c r="AW163" s="41"/>
      <c r="AX163" s="36"/>
      <c r="AY163" s="36"/>
      <c r="AZ163" s="36"/>
      <c r="BA163" s="36"/>
      <c r="BB163" s="36"/>
      <c r="BC163" s="36"/>
      <c r="BD163" s="36"/>
      <c r="BE163" s="41"/>
      <c r="BF163" s="41"/>
      <c r="BG163" s="41"/>
      <c r="BH163" s="41"/>
      <c r="BI163" s="42"/>
      <c r="BJ163" s="41"/>
      <c r="BK163" s="41"/>
      <c r="BL163" s="63"/>
      <c r="BM163" s="41"/>
      <c r="BN163" s="43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103"/>
      <c r="CG163" s="238"/>
      <c r="CH163" s="239"/>
      <c r="CI163" s="36"/>
      <c r="CJ163" s="36"/>
      <c r="CK163" s="36"/>
      <c r="CL163" s="36"/>
      <c r="CM163" s="36"/>
      <c r="CN163" s="36"/>
      <c r="CO163" s="36"/>
      <c r="CP163" s="36"/>
      <c r="CQ163" s="61"/>
      <c r="CR163" s="41"/>
      <c r="CS163" s="66"/>
      <c r="CT163" s="66"/>
      <c r="CU163" s="66"/>
      <c r="CV163" s="66"/>
      <c r="CW163" s="6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61"/>
      <c r="DL163" s="56"/>
      <c r="DM163" s="57"/>
      <c r="DN163" s="41"/>
      <c r="DO163" s="56"/>
      <c r="DP163" s="57"/>
      <c r="DQ163" s="57"/>
      <c r="DR163" s="41"/>
      <c r="DS163" s="41"/>
      <c r="DT163" s="41"/>
      <c r="DU163" s="41"/>
    </row>
    <row r="164" spans="1:125" s="48" customFormat="1" ht="16.5" customHeight="1" x14ac:dyDescent="0.3">
      <c r="A164" s="34"/>
      <c r="B164" s="35"/>
      <c r="C164" s="36"/>
      <c r="D164" s="36"/>
      <c r="E164" s="36"/>
      <c r="F164" s="36"/>
      <c r="G164" s="36"/>
      <c r="H164" s="36"/>
      <c r="I164" s="36"/>
      <c r="J164" s="36"/>
      <c r="K164" s="37"/>
      <c r="L164" s="37"/>
      <c r="M164" s="36"/>
      <c r="N164" s="36"/>
      <c r="O164" s="36"/>
      <c r="P164" s="37"/>
      <c r="Q164" s="36"/>
      <c r="R164" s="36"/>
      <c r="S164" s="39"/>
      <c r="T164" s="39"/>
      <c r="U164" s="41"/>
      <c r="V164" s="41"/>
      <c r="W164" s="41"/>
      <c r="X164" s="41"/>
      <c r="Y164" s="41"/>
      <c r="Z164" s="36"/>
      <c r="AA164" s="36"/>
      <c r="AB164" s="36"/>
      <c r="AC164" s="42"/>
      <c r="AD164" s="40"/>
      <c r="AE164" s="41"/>
      <c r="AF164" s="41"/>
      <c r="AG164" s="41"/>
      <c r="AH164" s="41"/>
      <c r="AI164" s="41"/>
      <c r="AJ164" s="36"/>
      <c r="AK164" s="36"/>
      <c r="AL164" s="36"/>
      <c r="AM164" s="42"/>
      <c r="AN164" s="43"/>
      <c r="AO164" s="44"/>
      <c r="AP164" s="41"/>
      <c r="AQ164" s="41"/>
      <c r="AR164" s="41"/>
      <c r="AS164" s="41"/>
      <c r="AT164" s="41"/>
      <c r="AU164" s="41"/>
      <c r="AV164" s="41"/>
      <c r="AW164" s="41"/>
      <c r="AX164" s="36"/>
      <c r="AY164" s="36"/>
      <c r="AZ164" s="36"/>
      <c r="BA164" s="36"/>
      <c r="BB164" s="36"/>
      <c r="BC164" s="36"/>
      <c r="BD164" s="36"/>
      <c r="BE164" s="41"/>
      <c r="BF164" s="41"/>
      <c r="BG164" s="41"/>
      <c r="BH164" s="41"/>
      <c r="BI164" s="42"/>
      <c r="BJ164" s="41"/>
      <c r="BK164" s="41"/>
      <c r="BL164" s="63"/>
      <c r="BM164" s="41"/>
      <c r="BN164" s="43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103"/>
      <c r="CG164" s="238"/>
      <c r="CH164" s="239"/>
      <c r="CI164" s="36"/>
      <c r="CJ164" s="36"/>
      <c r="CK164" s="36"/>
      <c r="CL164" s="36"/>
      <c r="CM164" s="36"/>
      <c r="CN164" s="36"/>
      <c r="CO164" s="36"/>
      <c r="CP164" s="36"/>
      <c r="CQ164" s="61"/>
      <c r="CR164" s="41"/>
      <c r="CS164" s="66"/>
      <c r="CT164" s="66"/>
      <c r="CU164" s="66"/>
      <c r="CV164" s="66"/>
      <c r="CW164" s="6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61"/>
      <c r="DL164" s="56"/>
      <c r="DM164" s="57"/>
      <c r="DN164" s="41"/>
      <c r="DO164" s="56"/>
      <c r="DP164" s="57"/>
      <c r="DQ164" s="57"/>
      <c r="DR164" s="41"/>
      <c r="DS164" s="41"/>
      <c r="DT164" s="41"/>
      <c r="DU164" s="41"/>
    </row>
    <row r="165" spans="1:125" s="48" customFormat="1" ht="16.5" customHeight="1" x14ac:dyDescent="0.3">
      <c r="A165" s="34"/>
      <c r="B165" s="35"/>
      <c r="C165" s="36"/>
      <c r="D165" s="36"/>
      <c r="E165" s="36"/>
      <c r="F165" s="36"/>
      <c r="G165" s="36"/>
      <c r="H165" s="36"/>
      <c r="I165" s="36"/>
      <c r="J165" s="36"/>
      <c r="K165" s="37"/>
      <c r="L165" s="37"/>
      <c r="M165" s="36"/>
      <c r="N165" s="36"/>
      <c r="O165" s="36"/>
      <c r="P165" s="37"/>
      <c r="Q165" s="36"/>
      <c r="R165" s="36"/>
      <c r="S165" s="39"/>
      <c r="T165" s="39"/>
      <c r="U165" s="41"/>
      <c r="V165" s="41"/>
      <c r="W165" s="41"/>
      <c r="X165" s="41"/>
      <c r="Y165" s="41"/>
      <c r="Z165" s="36"/>
      <c r="AA165" s="36"/>
      <c r="AB165" s="36"/>
      <c r="AC165" s="42"/>
      <c r="AD165" s="40"/>
      <c r="AE165" s="41"/>
      <c r="AF165" s="41"/>
      <c r="AG165" s="41"/>
      <c r="AH165" s="41"/>
      <c r="AI165" s="41"/>
      <c r="AJ165" s="36"/>
      <c r="AK165" s="36"/>
      <c r="AL165" s="36"/>
      <c r="AM165" s="42"/>
      <c r="AN165" s="43"/>
      <c r="AO165" s="44"/>
      <c r="AP165" s="41"/>
      <c r="AQ165" s="41"/>
      <c r="AR165" s="41"/>
      <c r="AS165" s="41"/>
      <c r="AT165" s="41"/>
      <c r="AU165" s="41"/>
      <c r="AV165" s="41"/>
      <c r="AW165" s="41"/>
      <c r="AX165" s="36"/>
      <c r="AY165" s="36"/>
      <c r="AZ165" s="36"/>
      <c r="BA165" s="36"/>
      <c r="BB165" s="36"/>
      <c r="BC165" s="36"/>
      <c r="BD165" s="36"/>
      <c r="BE165" s="41"/>
      <c r="BF165" s="41"/>
      <c r="BG165" s="41"/>
      <c r="BH165" s="41"/>
      <c r="BI165" s="42"/>
      <c r="BJ165" s="41"/>
      <c r="BK165" s="41"/>
      <c r="BL165" s="63"/>
      <c r="BM165" s="41"/>
      <c r="BN165" s="43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73"/>
      <c r="CB165" s="36"/>
      <c r="CC165" s="36"/>
      <c r="CD165" s="36"/>
      <c r="CE165" s="36"/>
      <c r="CF165" s="103"/>
      <c r="CG165" s="238"/>
      <c r="CH165" s="239"/>
      <c r="CI165" s="36"/>
      <c r="CJ165" s="36"/>
      <c r="CK165" s="36"/>
      <c r="CL165" s="36"/>
      <c r="CM165" s="36"/>
      <c r="CN165" s="36"/>
      <c r="CO165" s="36"/>
      <c r="CP165" s="36"/>
      <c r="CQ165" s="61"/>
      <c r="CR165" s="41"/>
      <c r="CS165" s="66"/>
      <c r="CT165" s="66"/>
      <c r="CU165" s="66"/>
      <c r="CV165" s="66"/>
      <c r="CW165" s="6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61"/>
      <c r="DL165" s="56"/>
      <c r="DM165" s="57"/>
      <c r="DN165" s="41"/>
      <c r="DO165" s="56"/>
      <c r="DP165" s="57"/>
      <c r="DQ165" s="57"/>
      <c r="DR165" s="41"/>
      <c r="DS165" s="41"/>
      <c r="DT165" s="41"/>
      <c r="DU165" s="41"/>
    </row>
    <row r="166" spans="1:125" s="48" customFormat="1" ht="16.5" customHeight="1" x14ac:dyDescent="0.3">
      <c r="A166" s="34"/>
      <c r="B166" s="35"/>
      <c r="C166" s="36"/>
      <c r="D166" s="36"/>
      <c r="E166" s="36"/>
      <c r="F166" s="36"/>
      <c r="G166" s="36"/>
      <c r="H166" s="36"/>
      <c r="I166" s="36"/>
      <c r="J166" s="36"/>
      <c r="K166" s="37"/>
      <c r="L166" s="37"/>
      <c r="M166" s="36"/>
      <c r="N166" s="36"/>
      <c r="O166" s="36"/>
      <c r="P166" s="37"/>
      <c r="Q166" s="36"/>
      <c r="R166" s="36"/>
      <c r="S166" s="39"/>
      <c r="T166" s="39"/>
      <c r="U166" s="41"/>
      <c r="V166" s="41"/>
      <c r="W166" s="41"/>
      <c r="X166" s="41"/>
      <c r="Y166" s="41"/>
      <c r="Z166" s="36"/>
      <c r="AA166" s="36"/>
      <c r="AB166" s="36"/>
      <c r="AC166" s="42"/>
      <c r="AD166" s="40"/>
      <c r="AE166" s="41"/>
      <c r="AF166" s="41"/>
      <c r="AG166" s="41"/>
      <c r="AH166" s="41"/>
      <c r="AI166" s="41"/>
      <c r="AJ166" s="36"/>
      <c r="AK166" s="36"/>
      <c r="AL166" s="36"/>
      <c r="AM166" s="42"/>
      <c r="AN166" s="43"/>
      <c r="AO166" s="44"/>
      <c r="AP166" s="41"/>
      <c r="AQ166" s="41"/>
      <c r="AR166" s="41"/>
      <c r="AS166" s="41"/>
      <c r="AT166" s="41"/>
      <c r="AU166" s="41"/>
      <c r="AV166" s="41"/>
      <c r="AW166" s="41"/>
      <c r="AX166" s="36"/>
      <c r="AY166" s="36"/>
      <c r="AZ166" s="36"/>
      <c r="BA166" s="36"/>
      <c r="BB166" s="36"/>
      <c r="BC166" s="36"/>
      <c r="BD166" s="36"/>
      <c r="BE166" s="41"/>
      <c r="BF166" s="41"/>
      <c r="BG166" s="41"/>
      <c r="BH166" s="41"/>
      <c r="BI166" s="42"/>
      <c r="BJ166" s="41"/>
      <c r="BK166" s="41"/>
      <c r="BL166" s="63"/>
      <c r="BM166" s="41"/>
      <c r="BN166" s="43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73"/>
      <c r="CB166" s="36"/>
      <c r="CC166" s="36"/>
      <c r="CD166" s="36"/>
      <c r="CE166" s="36"/>
      <c r="CF166" s="103"/>
      <c r="CG166" s="238"/>
      <c r="CH166" s="239"/>
      <c r="CI166" s="36"/>
      <c r="CJ166" s="36"/>
      <c r="CK166" s="36"/>
      <c r="CL166" s="36"/>
      <c r="CM166" s="36"/>
      <c r="CN166" s="36"/>
      <c r="CO166" s="36"/>
      <c r="CP166" s="36"/>
      <c r="CQ166" s="61"/>
      <c r="CR166" s="41"/>
      <c r="CS166" s="66"/>
      <c r="CT166" s="66"/>
      <c r="CU166" s="66"/>
      <c r="CV166" s="66"/>
      <c r="CW166" s="6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61"/>
      <c r="DL166" s="56"/>
      <c r="DM166" s="57"/>
      <c r="DN166" s="41"/>
      <c r="DO166" s="56"/>
      <c r="DP166" s="57"/>
      <c r="DQ166" s="57"/>
      <c r="DR166" s="41"/>
      <c r="DS166" s="41"/>
      <c r="DT166" s="41"/>
      <c r="DU166" s="41"/>
    </row>
    <row r="167" spans="1:125" s="48" customFormat="1" ht="16.5" customHeight="1" x14ac:dyDescent="0.3">
      <c r="A167" s="34"/>
      <c r="B167" s="35"/>
      <c r="C167" s="36"/>
      <c r="D167" s="36"/>
      <c r="E167" s="36"/>
      <c r="F167" s="36"/>
      <c r="G167" s="36"/>
      <c r="H167" s="36"/>
      <c r="I167" s="36"/>
      <c r="J167" s="36"/>
      <c r="K167" s="37"/>
      <c r="L167" s="37"/>
      <c r="M167" s="36"/>
      <c r="N167" s="36"/>
      <c r="O167" s="36"/>
      <c r="P167" s="37"/>
      <c r="Q167" s="36"/>
      <c r="R167" s="36"/>
      <c r="S167" s="39"/>
      <c r="T167" s="39"/>
      <c r="U167" s="41"/>
      <c r="V167" s="41"/>
      <c r="W167" s="41"/>
      <c r="X167" s="41"/>
      <c r="Y167" s="41"/>
      <c r="Z167" s="36"/>
      <c r="AA167" s="36"/>
      <c r="AB167" s="36"/>
      <c r="AC167" s="42"/>
      <c r="AD167" s="40"/>
      <c r="AE167" s="41"/>
      <c r="AF167" s="41"/>
      <c r="AG167" s="41"/>
      <c r="AH167" s="41"/>
      <c r="AI167" s="41"/>
      <c r="AJ167" s="36"/>
      <c r="AK167" s="36"/>
      <c r="AL167" s="36"/>
      <c r="AM167" s="42"/>
      <c r="AN167" s="43"/>
      <c r="AO167" s="44"/>
      <c r="AP167" s="41"/>
      <c r="AQ167" s="41"/>
      <c r="AR167" s="41"/>
      <c r="AS167" s="41"/>
      <c r="AT167" s="41"/>
      <c r="AU167" s="41"/>
      <c r="AV167" s="104"/>
      <c r="AW167" s="41"/>
      <c r="AX167" s="36"/>
      <c r="AY167" s="36"/>
      <c r="AZ167" s="36"/>
      <c r="BA167" s="36"/>
      <c r="BB167" s="36"/>
      <c r="BC167" s="36"/>
      <c r="BD167" s="36"/>
      <c r="BE167" s="41"/>
      <c r="BF167" s="41"/>
      <c r="BG167" s="41"/>
      <c r="BH167" s="41"/>
      <c r="BI167" s="42"/>
      <c r="BJ167" s="41"/>
      <c r="BK167" s="41"/>
      <c r="BL167" s="63"/>
      <c r="BM167" s="41"/>
      <c r="BN167" s="43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73"/>
      <c r="CB167" s="36"/>
      <c r="CC167" s="36"/>
      <c r="CD167" s="36"/>
      <c r="CE167" s="36"/>
      <c r="CF167" s="103"/>
      <c r="CG167" s="238"/>
      <c r="CH167" s="239"/>
      <c r="CI167" s="36"/>
      <c r="CJ167" s="36"/>
      <c r="CK167" s="36"/>
      <c r="CL167" s="36"/>
      <c r="CM167" s="36"/>
      <c r="CN167" s="36"/>
      <c r="CO167" s="36"/>
      <c r="CP167" s="36"/>
      <c r="CQ167" s="61"/>
      <c r="CR167" s="41"/>
      <c r="CS167" s="66"/>
      <c r="CT167" s="66"/>
      <c r="CU167" s="66"/>
      <c r="CV167" s="66"/>
      <c r="CW167" s="6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61"/>
      <c r="DL167" s="56"/>
      <c r="DM167" s="57"/>
      <c r="DN167" s="41"/>
      <c r="DO167" s="56"/>
      <c r="DP167" s="57"/>
      <c r="DQ167" s="57"/>
      <c r="DR167" s="41"/>
      <c r="DS167" s="41"/>
      <c r="DT167" s="41"/>
      <c r="DU167" s="41"/>
    </row>
    <row r="168" spans="1:125" s="48" customFormat="1" ht="16.5" customHeight="1" x14ac:dyDescent="0.3">
      <c r="A168" s="34"/>
      <c r="B168" s="35"/>
      <c r="C168" s="36"/>
      <c r="D168" s="36"/>
      <c r="E168" s="36"/>
      <c r="F168" s="36"/>
      <c r="G168" s="36"/>
      <c r="H168" s="36"/>
      <c r="I168" s="36"/>
      <c r="J168" s="36"/>
      <c r="K168" s="37"/>
      <c r="L168" s="37"/>
      <c r="M168" s="36"/>
      <c r="N168" s="36"/>
      <c r="O168" s="36"/>
      <c r="P168" s="37"/>
      <c r="Q168" s="36"/>
      <c r="R168" s="36"/>
      <c r="S168" s="39"/>
      <c r="T168" s="39"/>
      <c r="U168" s="41"/>
      <c r="V168" s="41"/>
      <c r="W168" s="41"/>
      <c r="X168" s="41"/>
      <c r="Y168" s="41"/>
      <c r="Z168" s="36"/>
      <c r="AA168" s="36"/>
      <c r="AB168" s="36"/>
      <c r="AC168" s="42"/>
      <c r="AD168" s="40"/>
      <c r="AE168" s="41"/>
      <c r="AF168" s="41"/>
      <c r="AG168" s="41"/>
      <c r="AH168" s="41"/>
      <c r="AI168" s="41"/>
      <c r="AJ168" s="36"/>
      <c r="AK168" s="36"/>
      <c r="AL168" s="36"/>
      <c r="AM168" s="42"/>
      <c r="AN168" s="43"/>
      <c r="AO168" s="44"/>
      <c r="AP168" s="41"/>
      <c r="AQ168" s="41"/>
      <c r="AR168" s="41"/>
      <c r="AS168" s="41"/>
      <c r="AT168" s="41"/>
      <c r="AU168" s="41"/>
      <c r="AV168" s="104"/>
      <c r="AW168" s="41"/>
      <c r="AX168" s="36"/>
      <c r="AY168" s="36"/>
      <c r="AZ168" s="36"/>
      <c r="BA168" s="36"/>
      <c r="BB168" s="36"/>
      <c r="BC168" s="36"/>
      <c r="BD168" s="36"/>
      <c r="BE168" s="41"/>
      <c r="BF168" s="41"/>
      <c r="BG168" s="41"/>
      <c r="BH168" s="41"/>
      <c r="BI168" s="42"/>
      <c r="BJ168" s="41"/>
      <c r="BK168" s="41"/>
      <c r="BL168" s="63"/>
      <c r="BM168" s="41"/>
      <c r="BN168" s="43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73"/>
      <c r="CB168" s="36"/>
      <c r="CC168" s="36"/>
      <c r="CD168" s="36"/>
      <c r="CE168" s="36"/>
      <c r="CF168" s="103"/>
      <c r="CG168" s="238"/>
      <c r="CH168" s="239"/>
      <c r="CI168" s="36"/>
      <c r="CJ168" s="36"/>
      <c r="CK168" s="36"/>
      <c r="CL168" s="36"/>
      <c r="CM168" s="36"/>
      <c r="CN168" s="36"/>
      <c r="CO168" s="36"/>
      <c r="CP168" s="36"/>
      <c r="CQ168" s="61"/>
      <c r="CR168" s="41"/>
      <c r="CS168" s="66"/>
      <c r="CT168" s="66"/>
      <c r="CU168" s="66"/>
      <c r="CV168" s="66"/>
      <c r="CW168" s="6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61"/>
      <c r="DL168" s="56"/>
      <c r="DM168" s="57"/>
      <c r="DN168" s="41"/>
      <c r="DO168" s="56"/>
      <c r="DP168" s="57"/>
      <c r="DQ168" s="57"/>
      <c r="DR168" s="41"/>
      <c r="DS168" s="41"/>
      <c r="DT168" s="41"/>
      <c r="DU168" s="41"/>
    </row>
    <row r="169" spans="1:125" s="48" customFormat="1" ht="16.5" customHeight="1" x14ac:dyDescent="0.3">
      <c r="A169" s="34"/>
      <c r="B169" s="74"/>
      <c r="C169" s="36"/>
      <c r="D169" s="36"/>
      <c r="E169" s="36"/>
      <c r="F169" s="36"/>
      <c r="G169" s="36"/>
      <c r="H169" s="36"/>
      <c r="I169" s="36"/>
      <c r="J169" s="36"/>
      <c r="K169" s="37"/>
      <c r="L169" s="37"/>
      <c r="M169" s="36"/>
      <c r="N169" s="36"/>
      <c r="O169" s="36"/>
      <c r="P169" s="37"/>
      <c r="Q169" s="36"/>
      <c r="R169" s="36"/>
      <c r="S169" s="39"/>
      <c r="T169" s="39"/>
      <c r="U169" s="41"/>
      <c r="V169" s="41"/>
      <c r="W169" s="41"/>
      <c r="X169" s="41"/>
      <c r="Y169" s="41"/>
      <c r="Z169" s="36"/>
      <c r="AA169" s="36"/>
      <c r="AB169" s="36"/>
      <c r="AC169" s="42"/>
      <c r="AD169" s="40"/>
      <c r="AE169" s="41"/>
      <c r="AF169" s="41"/>
      <c r="AG169" s="41"/>
      <c r="AH169" s="41"/>
      <c r="AI169" s="41"/>
      <c r="AJ169" s="36"/>
      <c r="AK169" s="36"/>
      <c r="AL169" s="36"/>
      <c r="AM169" s="42"/>
      <c r="AN169" s="43"/>
      <c r="AO169" s="44"/>
      <c r="AP169" s="41"/>
      <c r="AQ169" s="41"/>
      <c r="AR169" s="41"/>
      <c r="AS169" s="41"/>
      <c r="AT169" s="41"/>
      <c r="AU169" s="41"/>
      <c r="AV169" s="104"/>
      <c r="AW169" s="41"/>
      <c r="AX169" s="36"/>
      <c r="AY169" s="36"/>
      <c r="AZ169" s="36"/>
      <c r="BA169" s="36"/>
      <c r="BB169" s="36"/>
      <c r="BC169" s="36"/>
      <c r="BD169" s="36"/>
      <c r="BE169" s="41"/>
      <c r="BF169" s="41"/>
      <c r="BG169" s="41"/>
      <c r="BH169" s="41"/>
      <c r="BI169" s="42"/>
      <c r="BJ169" s="41"/>
      <c r="BK169" s="41"/>
      <c r="BL169" s="63"/>
      <c r="BM169" s="41"/>
      <c r="BN169" s="43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73"/>
      <c r="CB169" s="36"/>
      <c r="CC169" s="36"/>
      <c r="CD169" s="36"/>
      <c r="CE169" s="36"/>
      <c r="CF169" s="103"/>
      <c r="CG169" s="238"/>
      <c r="CH169" s="239"/>
      <c r="CI169" s="36"/>
      <c r="CJ169" s="36"/>
      <c r="CK169" s="36"/>
      <c r="CL169" s="36"/>
      <c r="CM169" s="36"/>
      <c r="CN169" s="36"/>
      <c r="CO169" s="36"/>
      <c r="CP169" s="36"/>
      <c r="CQ169" s="61"/>
      <c r="CR169" s="41"/>
      <c r="CS169" s="66"/>
      <c r="CT169" s="66"/>
      <c r="CU169" s="66"/>
      <c r="CV169" s="66"/>
      <c r="CW169" s="6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61"/>
      <c r="DL169" s="56"/>
      <c r="DM169" s="57"/>
      <c r="DN169" s="41"/>
      <c r="DO169" s="56"/>
      <c r="DP169" s="57"/>
      <c r="DQ169" s="57"/>
      <c r="DR169" s="41"/>
      <c r="DS169" s="41"/>
      <c r="DT169" s="41"/>
      <c r="DU169" s="41"/>
    </row>
    <row r="170" spans="1:125" s="48" customFormat="1" ht="16.5" customHeight="1" x14ac:dyDescent="0.3">
      <c r="A170" s="34"/>
      <c r="B170" s="74"/>
      <c r="C170" s="36"/>
      <c r="D170" s="36"/>
      <c r="E170" s="36"/>
      <c r="F170" s="36"/>
      <c r="G170" s="36"/>
      <c r="H170" s="36"/>
      <c r="I170" s="36"/>
      <c r="J170" s="36"/>
      <c r="K170" s="37"/>
      <c r="L170" s="37"/>
      <c r="M170" s="36"/>
      <c r="N170" s="36"/>
      <c r="O170" s="36"/>
      <c r="P170" s="37"/>
      <c r="Q170" s="36"/>
      <c r="R170" s="36"/>
      <c r="S170" s="39"/>
      <c r="T170" s="39"/>
      <c r="U170" s="41"/>
      <c r="V170" s="41"/>
      <c r="W170" s="41"/>
      <c r="X170" s="41"/>
      <c r="Y170" s="41"/>
      <c r="Z170" s="36"/>
      <c r="AA170" s="36"/>
      <c r="AB170" s="36"/>
      <c r="AC170" s="42"/>
      <c r="AD170" s="40"/>
      <c r="AE170" s="41"/>
      <c r="AF170" s="41"/>
      <c r="AG170" s="41"/>
      <c r="AH170" s="41"/>
      <c r="AI170" s="41"/>
      <c r="AJ170" s="36"/>
      <c r="AK170" s="36"/>
      <c r="AL170" s="36"/>
      <c r="AM170" s="42"/>
      <c r="AN170" s="43"/>
      <c r="AO170" s="44"/>
      <c r="AP170" s="41"/>
      <c r="AQ170" s="41"/>
      <c r="AR170" s="41"/>
      <c r="AS170" s="41"/>
      <c r="AT170" s="41"/>
      <c r="AU170" s="41"/>
      <c r="AV170" s="41"/>
      <c r="AW170" s="41"/>
      <c r="AX170" s="36"/>
      <c r="AY170" s="36"/>
      <c r="AZ170" s="36"/>
      <c r="BA170" s="36"/>
      <c r="BB170" s="36"/>
      <c r="BC170" s="36"/>
      <c r="BD170" s="36"/>
      <c r="BE170" s="41"/>
      <c r="BF170" s="41"/>
      <c r="BG170" s="41"/>
      <c r="BH170" s="41"/>
      <c r="BI170" s="42"/>
      <c r="BJ170" s="41"/>
      <c r="BK170" s="41"/>
      <c r="BL170" s="63"/>
      <c r="BM170" s="41"/>
      <c r="BN170" s="43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73"/>
      <c r="CB170" s="36"/>
      <c r="CC170" s="36"/>
      <c r="CD170" s="36"/>
      <c r="CE170" s="36"/>
      <c r="CF170" s="103"/>
      <c r="CG170" s="238"/>
      <c r="CH170" s="239"/>
      <c r="CI170" s="36"/>
      <c r="CJ170" s="36"/>
      <c r="CK170" s="36"/>
      <c r="CL170" s="36"/>
      <c r="CM170" s="36"/>
      <c r="CN170" s="36"/>
      <c r="CO170" s="36"/>
      <c r="CP170" s="36"/>
      <c r="CQ170" s="61"/>
      <c r="CR170" s="41"/>
      <c r="CS170" s="66"/>
      <c r="CT170" s="66"/>
      <c r="CU170" s="66"/>
      <c r="CV170" s="66"/>
      <c r="CW170" s="6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61"/>
      <c r="DL170" s="56"/>
      <c r="DM170" s="57"/>
      <c r="DN170" s="41"/>
      <c r="DO170" s="56"/>
      <c r="DP170" s="57"/>
      <c r="DQ170" s="57"/>
      <c r="DR170" s="41"/>
      <c r="DS170" s="41"/>
      <c r="DT170" s="41"/>
      <c r="DU170" s="41"/>
    </row>
    <row r="171" spans="1:125" s="48" customFormat="1" ht="16.5" customHeight="1" x14ac:dyDescent="0.3">
      <c r="A171" s="34"/>
      <c r="B171" s="74"/>
      <c r="C171" s="36"/>
      <c r="D171" s="36"/>
      <c r="E171" s="36"/>
      <c r="F171" s="36"/>
      <c r="G171" s="36"/>
      <c r="H171" s="36"/>
      <c r="I171" s="36"/>
      <c r="J171" s="36"/>
      <c r="K171" s="37"/>
      <c r="L171" s="37"/>
      <c r="M171" s="36"/>
      <c r="N171" s="36"/>
      <c r="O171" s="36"/>
      <c r="P171" s="37"/>
      <c r="Q171" s="36"/>
      <c r="R171" s="36"/>
      <c r="S171" s="39"/>
      <c r="T171" s="39"/>
      <c r="U171" s="41"/>
      <c r="V171" s="41"/>
      <c r="W171" s="41"/>
      <c r="X171" s="41"/>
      <c r="Y171" s="41"/>
      <c r="Z171" s="36"/>
      <c r="AA171" s="36"/>
      <c r="AB171" s="36"/>
      <c r="AC171" s="42"/>
      <c r="AD171" s="40"/>
      <c r="AE171" s="41"/>
      <c r="AF171" s="41"/>
      <c r="AG171" s="41"/>
      <c r="AH171" s="41"/>
      <c r="AI171" s="41"/>
      <c r="AJ171" s="36"/>
      <c r="AK171" s="36"/>
      <c r="AL171" s="36"/>
      <c r="AM171" s="42"/>
      <c r="AN171" s="43"/>
      <c r="AO171" s="44"/>
      <c r="AP171" s="41"/>
      <c r="AQ171" s="41"/>
      <c r="AR171" s="41"/>
      <c r="AS171" s="41"/>
      <c r="AT171" s="41"/>
      <c r="AU171" s="41"/>
      <c r="AV171" s="41"/>
      <c r="AW171" s="41"/>
      <c r="AX171" s="36"/>
      <c r="AY171" s="36"/>
      <c r="AZ171" s="36"/>
      <c r="BA171" s="36"/>
      <c r="BB171" s="36"/>
      <c r="BC171" s="36"/>
      <c r="BD171" s="36"/>
      <c r="BE171" s="41"/>
      <c r="BF171" s="41"/>
      <c r="BG171" s="41"/>
      <c r="BH171" s="41"/>
      <c r="BI171" s="42"/>
      <c r="BJ171" s="41"/>
      <c r="BK171" s="41"/>
      <c r="BL171" s="63"/>
      <c r="BM171" s="41"/>
      <c r="BN171" s="43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73"/>
      <c r="CB171" s="36"/>
      <c r="CC171" s="36"/>
      <c r="CD171" s="36"/>
      <c r="CE171" s="36"/>
      <c r="CF171" s="103"/>
      <c r="CG171" s="238"/>
      <c r="CH171" s="239"/>
      <c r="CI171" s="36"/>
      <c r="CJ171" s="36"/>
      <c r="CK171" s="36"/>
      <c r="CL171" s="36"/>
      <c r="CM171" s="36"/>
      <c r="CN171" s="36"/>
      <c r="CO171" s="36"/>
      <c r="CP171" s="36"/>
      <c r="CQ171" s="61"/>
      <c r="CR171" s="41"/>
      <c r="CS171" s="66"/>
      <c r="CT171" s="66"/>
      <c r="CU171" s="66"/>
      <c r="CV171" s="66"/>
      <c r="CW171" s="6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61"/>
      <c r="DL171" s="56"/>
      <c r="DM171" s="57"/>
      <c r="DN171" s="41"/>
      <c r="DO171" s="56"/>
      <c r="DP171" s="57"/>
      <c r="DQ171" s="57"/>
      <c r="DR171" s="41"/>
      <c r="DS171" s="41"/>
      <c r="DT171" s="41"/>
      <c r="DU171" s="41"/>
    </row>
    <row r="172" spans="1:125" s="48" customFormat="1" ht="16.5" customHeight="1" x14ac:dyDescent="0.3">
      <c r="A172" s="34"/>
      <c r="B172" s="74"/>
      <c r="C172" s="36"/>
      <c r="D172" s="36"/>
      <c r="E172" s="36"/>
      <c r="F172" s="36"/>
      <c r="G172" s="36"/>
      <c r="H172" s="36"/>
      <c r="I172" s="36"/>
      <c r="J172" s="36"/>
      <c r="K172" s="37"/>
      <c r="L172" s="37"/>
      <c r="M172" s="36"/>
      <c r="N172" s="36"/>
      <c r="O172" s="36"/>
      <c r="P172" s="37"/>
      <c r="Q172" s="36"/>
      <c r="R172" s="36"/>
      <c r="S172" s="39"/>
      <c r="T172" s="39"/>
      <c r="U172" s="41"/>
      <c r="V172" s="41"/>
      <c r="W172" s="41"/>
      <c r="X172" s="41"/>
      <c r="Y172" s="41"/>
      <c r="Z172" s="36"/>
      <c r="AA172" s="36"/>
      <c r="AB172" s="36"/>
      <c r="AC172" s="42"/>
      <c r="AD172" s="40"/>
      <c r="AE172" s="41"/>
      <c r="AF172" s="41"/>
      <c r="AG172" s="41"/>
      <c r="AH172" s="41"/>
      <c r="AI172" s="41"/>
      <c r="AJ172" s="36"/>
      <c r="AK172" s="36"/>
      <c r="AL172" s="36"/>
      <c r="AM172" s="42"/>
      <c r="AN172" s="43"/>
      <c r="AO172" s="44"/>
      <c r="AP172" s="41"/>
      <c r="AQ172" s="41"/>
      <c r="AR172" s="41"/>
      <c r="AS172" s="41"/>
      <c r="AT172" s="41"/>
      <c r="AU172" s="41"/>
      <c r="AV172" s="41"/>
      <c r="AW172" s="41"/>
      <c r="AX172" s="36"/>
      <c r="AY172" s="36"/>
      <c r="AZ172" s="36"/>
      <c r="BA172" s="36"/>
      <c r="BB172" s="36"/>
      <c r="BC172" s="36"/>
      <c r="BD172" s="36"/>
      <c r="BE172" s="41"/>
      <c r="BF172" s="41"/>
      <c r="BG172" s="41"/>
      <c r="BH172" s="41"/>
      <c r="BI172" s="42"/>
      <c r="BJ172" s="41"/>
      <c r="BK172" s="41"/>
      <c r="BL172" s="63"/>
      <c r="BM172" s="41"/>
      <c r="BN172" s="43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73"/>
      <c r="CB172" s="36"/>
      <c r="CC172" s="36"/>
      <c r="CD172" s="36"/>
      <c r="CE172" s="36"/>
      <c r="CF172" s="103"/>
      <c r="CG172" s="238"/>
      <c r="CH172" s="239"/>
      <c r="CI172" s="36"/>
      <c r="CJ172" s="36"/>
      <c r="CK172" s="36"/>
      <c r="CL172" s="36"/>
      <c r="CM172" s="36"/>
      <c r="CN172" s="36"/>
      <c r="CO172" s="36"/>
      <c r="CP172" s="36"/>
      <c r="CQ172" s="61"/>
      <c r="CR172" s="41"/>
      <c r="CS172" s="66"/>
      <c r="CT172" s="66"/>
      <c r="CU172" s="66"/>
      <c r="CV172" s="66"/>
      <c r="CW172" s="6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61"/>
      <c r="DL172" s="56"/>
      <c r="DM172" s="57"/>
      <c r="DN172" s="41"/>
      <c r="DO172" s="56"/>
      <c r="DP172" s="57"/>
      <c r="DQ172" s="57"/>
      <c r="DR172" s="41"/>
      <c r="DS172" s="41"/>
      <c r="DT172" s="41"/>
      <c r="DU172" s="41"/>
    </row>
    <row r="173" spans="1:125" s="48" customFormat="1" ht="16.5" customHeight="1" x14ac:dyDescent="0.3">
      <c r="A173" s="34"/>
      <c r="B173" s="74"/>
      <c r="C173" s="36"/>
      <c r="D173" s="36"/>
      <c r="E173" s="36"/>
      <c r="F173" s="36"/>
      <c r="G173" s="36"/>
      <c r="H173" s="36"/>
      <c r="I173" s="36"/>
      <c r="J173" s="36"/>
      <c r="K173" s="37"/>
      <c r="L173" s="37"/>
      <c r="M173" s="36"/>
      <c r="N173" s="36"/>
      <c r="O173" s="36"/>
      <c r="P173" s="37"/>
      <c r="Q173" s="36"/>
      <c r="R173" s="36"/>
      <c r="S173" s="39"/>
      <c r="T173" s="39"/>
      <c r="U173" s="41"/>
      <c r="V173" s="41"/>
      <c r="W173" s="41"/>
      <c r="X173" s="41"/>
      <c r="Y173" s="41"/>
      <c r="Z173" s="36"/>
      <c r="AA173" s="36"/>
      <c r="AB173" s="36"/>
      <c r="AC173" s="42"/>
      <c r="AD173" s="40"/>
      <c r="AE173" s="41"/>
      <c r="AF173" s="41"/>
      <c r="AG173" s="41"/>
      <c r="AH173" s="41"/>
      <c r="AI173" s="41"/>
      <c r="AJ173" s="36"/>
      <c r="AK173" s="36"/>
      <c r="AL173" s="36"/>
      <c r="AM173" s="42"/>
      <c r="AN173" s="43"/>
      <c r="AO173" s="44"/>
      <c r="AP173" s="41"/>
      <c r="AQ173" s="41"/>
      <c r="AR173" s="41"/>
      <c r="AS173" s="41"/>
      <c r="AT173" s="41"/>
      <c r="AU173" s="41"/>
      <c r="AV173" s="41"/>
      <c r="AW173" s="41"/>
      <c r="AX173" s="36"/>
      <c r="AY173" s="36"/>
      <c r="AZ173" s="36"/>
      <c r="BA173" s="36"/>
      <c r="BB173" s="36"/>
      <c r="BC173" s="36"/>
      <c r="BD173" s="36"/>
      <c r="BE173" s="41"/>
      <c r="BF173" s="41"/>
      <c r="BG173" s="41"/>
      <c r="BH173" s="41"/>
      <c r="BI173" s="42"/>
      <c r="BJ173" s="41"/>
      <c r="BK173" s="41"/>
      <c r="BL173" s="63"/>
      <c r="BM173" s="41"/>
      <c r="BN173" s="43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73"/>
      <c r="CB173" s="36"/>
      <c r="CC173" s="36"/>
      <c r="CD173" s="36"/>
      <c r="CE173" s="36"/>
      <c r="CF173" s="103"/>
      <c r="CG173" s="238"/>
      <c r="CH173" s="239"/>
      <c r="CI173" s="36"/>
      <c r="CJ173" s="36"/>
      <c r="CK173" s="36"/>
      <c r="CL173" s="36"/>
      <c r="CM173" s="36"/>
      <c r="CN173" s="36"/>
      <c r="CO173" s="36"/>
      <c r="CP173" s="36"/>
      <c r="CQ173" s="61"/>
      <c r="CR173" s="41"/>
      <c r="CS173" s="66"/>
      <c r="CT173" s="66"/>
      <c r="CU173" s="66"/>
      <c r="CV173" s="66"/>
      <c r="CW173" s="6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61"/>
      <c r="DL173" s="56"/>
      <c r="DM173" s="57"/>
      <c r="DN173" s="41"/>
      <c r="DO173" s="56"/>
      <c r="DP173" s="57"/>
      <c r="DQ173" s="57"/>
      <c r="DR173" s="41"/>
      <c r="DS173" s="41"/>
      <c r="DT173" s="41"/>
      <c r="DU173" s="41"/>
    </row>
    <row r="174" spans="1:125" s="48" customFormat="1" ht="16.5" customHeight="1" x14ac:dyDescent="0.3">
      <c r="A174" s="76"/>
      <c r="B174" s="74"/>
      <c r="C174" s="36"/>
      <c r="D174" s="36"/>
      <c r="E174" s="36"/>
      <c r="F174" s="36"/>
      <c r="G174" s="36"/>
      <c r="H174" s="36"/>
      <c r="I174" s="36"/>
      <c r="J174" s="36"/>
      <c r="K174" s="37"/>
      <c r="L174" s="37"/>
      <c r="M174" s="36"/>
      <c r="N174" s="36"/>
      <c r="O174" s="36"/>
      <c r="P174" s="37"/>
      <c r="Q174" s="36"/>
      <c r="R174" s="36"/>
      <c r="S174" s="39"/>
      <c r="T174" s="39"/>
      <c r="U174" s="41"/>
      <c r="V174" s="41"/>
      <c r="W174" s="41"/>
      <c r="X174" s="41"/>
      <c r="Y174" s="41"/>
      <c r="Z174" s="36"/>
      <c r="AA174" s="36"/>
      <c r="AB174" s="36"/>
      <c r="AC174" s="42"/>
      <c r="AD174" s="40"/>
      <c r="AE174" s="41"/>
      <c r="AF174" s="41"/>
      <c r="AG174" s="41"/>
      <c r="AH174" s="41"/>
      <c r="AI174" s="41"/>
      <c r="AJ174" s="36"/>
      <c r="AK174" s="36"/>
      <c r="AL174" s="36"/>
      <c r="AM174" s="42"/>
      <c r="AN174" s="43"/>
      <c r="AO174" s="44"/>
      <c r="AP174" s="41"/>
      <c r="AQ174" s="41"/>
      <c r="AR174" s="41"/>
      <c r="AS174" s="41"/>
      <c r="AT174" s="41"/>
      <c r="AU174" s="41"/>
      <c r="AV174" s="41"/>
      <c r="AW174" s="41"/>
      <c r="AX174" s="36"/>
      <c r="AY174" s="36"/>
      <c r="AZ174" s="36"/>
      <c r="BA174" s="36"/>
      <c r="BB174" s="36"/>
      <c r="BC174" s="36"/>
      <c r="BD174" s="36"/>
      <c r="BE174" s="41"/>
      <c r="BF174" s="41"/>
      <c r="BG174" s="41"/>
      <c r="BH174" s="41"/>
      <c r="BI174" s="42"/>
      <c r="BJ174" s="41"/>
      <c r="BK174" s="41"/>
      <c r="BL174" s="63"/>
      <c r="BM174" s="41"/>
      <c r="BN174" s="43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73"/>
      <c r="CB174" s="36"/>
      <c r="CC174" s="36"/>
      <c r="CD174" s="36"/>
      <c r="CE174" s="36"/>
      <c r="CF174" s="103"/>
      <c r="CG174" s="238"/>
      <c r="CH174" s="239"/>
      <c r="CI174" s="36"/>
      <c r="CJ174" s="36"/>
      <c r="CK174" s="36"/>
      <c r="CL174" s="36"/>
      <c r="CM174" s="36"/>
      <c r="CN174" s="36"/>
      <c r="CO174" s="36"/>
      <c r="CP174" s="36"/>
      <c r="CQ174" s="61"/>
      <c r="CR174" s="41"/>
      <c r="CS174" s="66"/>
      <c r="CT174" s="66"/>
      <c r="CU174" s="66"/>
      <c r="CV174" s="66"/>
      <c r="CW174" s="6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61"/>
      <c r="DL174" s="56"/>
      <c r="DM174" s="57"/>
      <c r="DN174" s="41"/>
      <c r="DO174" s="56"/>
      <c r="DP174" s="57"/>
      <c r="DQ174" s="57"/>
      <c r="DR174" s="41"/>
      <c r="DS174" s="41"/>
      <c r="DT174" s="41"/>
      <c r="DU174" s="41"/>
    </row>
    <row r="175" spans="1:125" s="48" customFormat="1" ht="16.5" customHeight="1" x14ac:dyDescent="0.3">
      <c r="A175" s="76"/>
      <c r="B175" s="74"/>
      <c r="C175" s="36"/>
      <c r="D175" s="36"/>
      <c r="E175" s="36"/>
      <c r="F175" s="36"/>
      <c r="G175" s="36"/>
      <c r="H175" s="36"/>
      <c r="I175" s="36"/>
      <c r="J175" s="36"/>
      <c r="K175" s="37"/>
      <c r="L175" s="37"/>
      <c r="M175" s="36"/>
      <c r="N175" s="36"/>
      <c r="O175" s="36"/>
      <c r="P175" s="37"/>
      <c r="Q175" s="36"/>
      <c r="R175" s="36"/>
      <c r="S175" s="39"/>
      <c r="T175" s="39"/>
      <c r="U175" s="41"/>
      <c r="V175" s="41"/>
      <c r="W175" s="41"/>
      <c r="X175" s="41"/>
      <c r="Y175" s="41"/>
      <c r="Z175" s="36"/>
      <c r="AA175" s="36"/>
      <c r="AB175" s="36"/>
      <c r="AC175" s="42"/>
      <c r="AD175" s="40"/>
      <c r="AE175" s="41"/>
      <c r="AF175" s="41"/>
      <c r="AG175" s="41"/>
      <c r="AH175" s="41"/>
      <c r="AI175" s="41"/>
      <c r="AJ175" s="36"/>
      <c r="AK175" s="36"/>
      <c r="AL175" s="36"/>
      <c r="AM175" s="42"/>
      <c r="AN175" s="43"/>
      <c r="AO175" s="44"/>
      <c r="AP175" s="41"/>
      <c r="AQ175" s="41"/>
      <c r="AR175" s="41"/>
      <c r="AS175" s="41"/>
      <c r="AT175" s="41"/>
      <c r="AU175" s="41"/>
      <c r="AV175" s="41"/>
      <c r="AW175" s="41"/>
      <c r="AX175" s="36"/>
      <c r="AY175" s="36"/>
      <c r="AZ175" s="36"/>
      <c r="BA175" s="36"/>
      <c r="BB175" s="36"/>
      <c r="BC175" s="36"/>
      <c r="BD175" s="36"/>
      <c r="BE175" s="41"/>
      <c r="BF175" s="41"/>
      <c r="BG175" s="41"/>
      <c r="BH175" s="41"/>
      <c r="BI175" s="42"/>
      <c r="BJ175" s="41"/>
      <c r="BK175" s="41"/>
      <c r="BL175" s="63"/>
      <c r="BM175" s="41"/>
      <c r="BN175" s="43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73"/>
      <c r="CB175" s="36"/>
      <c r="CC175" s="36"/>
      <c r="CD175" s="36"/>
      <c r="CE175" s="36"/>
      <c r="CF175" s="103"/>
      <c r="CG175" s="238"/>
      <c r="CH175" s="239"/>
      <c r="CI175" s="36"/>
      <c r="CJ175" s="36"/>
      <c r="CK175" s="36"/>
      <c r="CL175" s="36"/>
      <c r="CM175" s="36"/>
      <c r="CN175" s="36"/>
      <c r="CO175" s="36"/>
      <c r="CP175" s="36"/>
      <c r="CQ175" s="61"/>
      <c r="CR175" s="41"/>
      <c r="CS175" s="66"/>
      <c r="CT175" s="66"/>
      <c r="CU175" s="66"/>
      <c r="CV175" s="66"/>
      <c r="CW175" s="6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61"/>
      <c r="DL175" s="56"/>
      <c r="DM175" s="57"/>
      <c r="DN175" s="41"/>
      <c r="DO175" s="56"/>
      <c r="DP175" s="57"/>
      <c r="DQ175" s="57"/>
      <c r="DR175" s="41"/>
      <c r="DS175" s="41"/>
      <c r="DT175" s="41"/>
      <c r="DU175" s="41"/>
    </row>
    <row r="176" spans="1:125" s="48" customFormat="1" ht="16.5" customHeight="1" x14ac:dyDescent="0.3">
      <c r="A176" s="34"/>
      <c r="B176" s="74"/>
      <c r="C176" s="36"/>
      <c r="D176" s="36"/>
      <c r="E176" s="36"/>
      <c r="F176" s="36"/>
      <c r="G176" s="36"/>
      <c r="H176" s="36"/>
      <c r="I176" s="36"/>
      <c r="J176" s="36"/>
      <c r="K176" s="37"/>
      <c r="L176" s="37"/>
      <c r="M176" s="36"/>
      <c r="N176" s="36"/>
      <c r="O176" s="36"/>
      <c r="P176" s="37"/>
      <c r="Q176" s="36"/>
      <c r="R176" s="36"/>
      <c r="S176" s="39"/>
      <c r="T176" s="39"/>
      <c r="U176" s="41"/>
      <c r="V176" s="41"/>
      <c r="W176" s="41"/>
      <c r="X176" s="41"/>
      <c r="Y176" s="41"/>
      <c r="Z176" s="36"/>
      <c r="AA176" s="36"/>
      <c r="AB176" s="36"/>
      <c r="AC176" s="42"/>
      <c r="AD176" s="40"/>
      <c r="AE176" s="41"/>
      <c r="AF176" s="41"/>
      <c r="AG176" s="41"/>
      <c r="AH176" s="41"/>
      <c r="AI176" s="41"/>
      <c r="AJ176" s="36"/>
      <c r="AK176" s="36"/>
      <c r="AL176" s="36"/>
      <c r="AM176" s="42"/>
      <c r="AN176" s="43"/>
      <c r="AO176" s="44"/>
      <c r="AP176" s="41"/>
      <c r="AQ176" s="41"/>
      <c r="AR176" s="41"/>
      <c r="AS176" s="41"/>
      <c r="AT176" s="41"/>
      <c r="AU176" s="41"/>
      <c r="AV176" s="41"/>
      <c r="AW176" s="41"/>
      <c r="AX176" s="36"/>
      <c r="AY176" s="36"/>
      <c r="AZ176" s="36"/>
      <c r="BA176" s="36"/>
      <c r="BB176" s="36"/>
      <c r="BC176" s="36"/>
      <c r="BD176" s="36"/>
      <c r="BE176" s="41"/>
      <c r="BF176" s="41"/>
      <c r="BG176" s="41"/>
      <c r="BH176" s="41"/>
      <c r="BI176" s="42"/>
      <c r="BJ176" s="41"/>
      <c r="BK176" s="41"/>
      <c r="BL176" s="63"/>
      <c r="BM176" s="41"/>
      <c r="BN176" s="43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73"/>
      <c r="CB176" s="36"/>
      <c r="CC176" s="36"/>
      <c r="CD176" s="36"/>
      <c r="CE176" s="36"/>
      <c r="CF176" s="103"/>
      <c r="CG176" s="238"/>
      <c r="CH176" s="239"/>
      <c r="CI176" s="36"/>
      <c r="CJ176" s="36"/>
      <c r="CK176" s="36"/>
      <c r="CL176" s="36"/>
      <c r="CM176" s="36"/>
      <c r="CN176" s="36"/>
      <c r="CO176" s="36"/>
      <c r="CP176" s="36"/>
      <c r="CQ176" s="61"/>
      <c r="CR176" s="41"/>
      <c r="CS176" s="66"/>
      <c r="CT176" s="66"/>
      <c r="CU176" s="66"/>
      <c r="CV176" s="66"/>
      <c r="CW176" s="6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61"/>
      <c r="DL176" s="56"/>
      <c r="DM176" s="57"/>
      <c r="DN176" s="41"/>
      <c r="DO176" s="56"/>
      <c r="DP176" s="57"/>
      <c r="DQ176" s="57"/>
      <c r="DR176" s="41"/>
      <c r="DS176" s="41"/>
      <c r="DT176" s="41"/>
      <c r="DU176" s="41"/>
    </row>
    <row r="177" spans="1:125" s="48" customFormat="1" ht="16.5" customHeight="1" x14ac:dyDescent="0.3">
      <c r="A177" s="34"/>
      <c r="B177" s="74"/>
      <c r="C177" s="36"/>
      <c r="D177" s="36"/>
      <c r="E177" s="36"/>
      <c r="F177" s="36"/>
      <c r="G177" s="36"/>
      <c r="H177" s="36"/>
      <c r="I177" s="36"/>
      <c r="J177" s="36"/>
      <c r="K177" s="37"/>
      <c r="L177" s="37"/>
      <c r="M177" s="36"/>
      <c r="N177" s="36"/>
      <c r="O177" s="36"/>
      <c r="P177" s="37"/>
      <c r="Q177" s="36"/>
      <c r="R177" s="36"/>
      <c r="S177" s="39"/>
      <c r="T177" s="39"/>
      <c r="U177" s="41"/>
      <c r="V177" s="41"/>
      <c r="W177" s="41"/>
      <c r="X177" s="41"/>
      <c r="Y177" s="41"/>
      <c r="Z177" s="36"/>
      <c r="AA177" s="36"/>
      <c r="AB177" s="36"/>
      <c r="AC177" s="42"/>
      <c r="AD177" s="40"/>
      <c r="AE177" s="41"/>
      <c r="AF177" s="41"/>
      <c r="AG177" s="41"/>
      <c r="AH177" s="41"/>
      <c r="AI177" s="41"/>
      <c r="AJ177" s="36"/>
      <c r="AK177" s="36"/>
      <c r="AL177" s="36"/>
      <c r="AM177" s="42"/>
      <c r="AN177" s="43"/>
      <c r="AO177" s="44"/>
      <c r="AP177" s="41"/>
      <c r="AQ177" s="41"/>
      <c r="AR177" s="41"/>
      <c r="AS177" s="41"/>
      <c r="AT177" s="41"/>
      <c r="AU177" s="41"/>
      <c r="AV177" s="41"/>
      <c r="AW177" s="41"/>
      <c r="AX177" s="36"/>
      <c r="AY177" s="36"/>
      <c r="AZ177" s="36"/>
      <c r="BA177" s="36"/>
      <c r="BB177" s="36"/>
      <c r="BC177" s="36"/>
      <c r="BD177" s="36"/>
      <c r="BE177" s="41"/>
      <c r="BF177" s="41"/>
      <c r="BG177" s="41"/>
      <c r="BH177" s="41"/>
      <c r="BI177" s="42"/>
      <c r="BJ177" s="41"/>
      <c r="BK177" s="41"/>
      <c r="BL177" s="63"/>
      <c r="BM177" s="41"/>
      <c r="BN177" s="43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73"/>
      <c r="CB177" s="36"/>
      <c r="CC177" s="36"/>
      <c r="CD177" s="36"/>
      <c r="CE177" s="36"/>
      <c r="CF177" s="103"/>
      <c r="CG177" s="238"/>
      <c r="CH177" s="239"/>
      <c r="CI177" s="36"/>
      <c r="CJ177" s="36"/>
      <c r="CK177" s="36"/>
      <c r="CL177" s="36"/>
      <c r="CM177" s="36"/>
      <c r="CN177" s="36"/>
      <c r="CO177" s="36"/>
      <c r="CP177" s="36"/>
      <c r="CQ177" s="61"/>
      <c r="CR177" s="41"/>
      <c r="CS177" s="66"/>
      <c r="CT177" s="66"/>
      <c r="CU177" s="66"/>
      <c r="CV177" s="66"/>
      <c r="CW177" s="6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61"/>
      <c r="DL177" s="56"/>
      <c r="DM177" s="57"/>
      <c r="DN177" s="41"/>
      <c r="DO177" s="56"/>
      <c r="DP177" s="57"/>
      <c r="DQ177" s="57"/>
      <c r="DR177" s="41"/>
      <c r="DS177" s="41"/>
      <c r="DT177" s="41"/>
      <c r="DU177" s="41"/>
    </row>
    <row r="178" spans="1:125" s="48" customFormat="1" ht="16.5" customHeight="1" x14ac:dyDescent="0.3">
      <c r="A178" s="34"/>
      <c r="B178" s="74"/>
      <c r="C178" s="36"/>
      <c r="D178" s="36"/>
      <c r="E178" s="36"/>
      <c r="F178" s="36"/>
      <c r="G178" s="36"/>
      <c r="H178" s="36"/>
      <c r="I178" s="36"/>
      <c r="J178" s="36"/>
      <c r="K178" s="37"/>
      <c r="L178" s="37"/>
      <c r="M178" s="36"/>
      <c r="N178" s="36"/>
      <c r="O178" s="36"/>
      <c r="P178" s="37"/>
      <c r="Q178" s="36"/>
      <c r="R178" s="36"/>
      <c r="S178" s="39"/>
      <c r="T178" s="39"/>
      <c r="U178" s="41"/>
      <c r="V178" s="41"/>
      <c r="W178" s="41"/>
      <c r="X178" s="41"/>
      <c r="Y178" s="41"/>
      <c r="Z178" s="36"/>
      <c r="AA178" s="36"/>
      <c r="AB178" s="36"/>
      <c r="AC178" s="42"/>
      <c r="AD178" s="40"/>
      <c r="AE178" s="41"/>
      <c r="AF178" s="41"/>
      <c r="AG178" s="41"/>
      <c r="AH178" s="41"/>
      <c r="AI178" s="41"/>
      <c r="AJ178" s="36"/>
      <c r="AK178" s="36"/>
      <c r="AL178" s="36"/>
      <c r="AM178" s="42"/>
      <c r="AN178" s="43"/>
      <c r="AO178" s="44"/>
      <c r="AP178" s="41"/>
      <c r="AQ178" s="41"/>
      <c r="AR178" s="41"/>
      <c r="AS178" s="41"/>
      <c r="AT178" s="41"/>
      <c r="AU178" s="41"/>
      <c r="AV178" s="41"/>
      <c r="AW178" s="41"/>
      <c r="AX178" s="36"/>
      <c r="AY178" s="36"/>
      <c r="AZ178" s="36"/>
      <c r="BA178" s="36"/>
      <c r="BB178" s="36"/>
      <c r="BC178" s="36"/>
      <c r="BD178" s="36"/>
      <c r="BE178" s="41"/>
      <c r="BF178" s="41"/>
      <c r="BG178" s="41"/>
      <c r="BH178" s="41"/>
      <c r="BI178" s="42"/>
      <c r="BJ178" s="41"/>
      <c r="BK178" s="41"/>
      <c r="BL178" s="63"/>
      <c r="BM178" s="41"/>
      <c r="BN178" s="43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73"/>
      <c r="CB178" s="36"/>
      <c r="CC178" s="36"/>
      <c r="CD178" s="36"/>
      <c r="CE178" s="36"/>
      <c r="CF178" s="103"/>
      <c r="CG178" s="238"/>
      <c r="CH178" s="239"/>
      <c r="CI178" s="36"/>
      <c r="CJ178" s="36"/>
      <c r="CK178" s="36"/>
      <c r="CL178" s="36"/>
      <c r="CM178" s="36"/>
      <c r="CN178" s="36"/>
      <c r="CO178" s="36"/>
      <c r="CP178" s="36"/>
      <c r="CQ178" s="61"/>
      <c r="CR178" s="41"/>
      <c r="CS178" s="66"/>
      <c r="CT178" s="66"/>
      <c r="CU178" s="66"/>
      <c r="CV178" s="66"/>
      <c r="CW178" s="6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61"/>
      <c r="DL178" s="56"/>
      <c r="DM178" s="57"/>
      <c r="DN178" s="41"/>
      <c r="DO178" s="56"/>
      <c r="DP178" s="57"/>
      <c r="DQ178" s="57"/>
      <c r="DR178" s="41"/>
      <c r="DS178" s="41"/>
      <c r="DT178" s="41"/>
      <c r="DU178" s="41"/>
    </row>
    <row r="179" spans="1:125" s="48" customFormat="1" ht="16.5" customHeight="1" x14ac:dyDescent="0.3">
      <c r="A179" s="34"/>
      <c r="B179" s="74"/>
      <c r="C179" s="36"/>
      <c r="D179" s="36"/>
      <c r="E179" s="36"/>
      <c r="F179" s="36"/>
      <c r="G179" s="36"/>
      <c r="H179" s="36"/>
      <c r="I179" s="36"/>
      <c r="J179" s="36"/>
      <c r="K179" s="37"/>
      <c r="L179" s="37"/>
      <c r="M179" s="36"/>
      <c r="N179" s="36"/>
      <c r="O179" s="36"/>
      <c r="P179" s="37"/>
      <c r="Q179" s="36"/>
      <c r="R179" s="36"/>
      <c r="S179" s="39"/>
      <c r="T179" s="39"/>
      <c r="U179" s="41"/>
      <c r="V179" s="41"/>
      <c r="W179" s="41"/>
      <c r="X179" s="41"/>
      <c r="Y179" s="41"/>
      <c r="Z179" s="36"/>
      <c r="AA179" s="36"/>
      <c r="AB179" s="36"/>
      <c r="AC179" s="42"/>
      <c r="AD179" s="40"/>
      <c r="AE179" s="41"/>
      <c r="AF179" s="41"/>
      <c r="AG179" s="41"/>
      <c r="AH179" s="41"/>
      <c r="AI179" s="41"/>
      <c r="AJ179" s="36"/>
      <c r="AK179" s="36"/>
      <c r="AL179" s="36"/>
      <c r="AM179" s="42"/>
      <c r="AN179" s="43"/>
      <c r="AO179" s="44"/>
      <c r="AP179" s="41"/>
      <c r="AQ179" s="41"/>
      <c r="AR179" s="41"/>
      <c r="AS179" s="41"/>
      <c r="AT179" s="41"/>
      <c r="AU179" s="41"/>
      <c r="AV179" s="41"/>
      <c r="AW179" s="41"/>
      <c r="AX179" s="36"/>
      <c r="AY179" s="36"/>
      <c r="AZ179" s="36"/>
      <c r="BA179" s="36"/>
      <c r="BB179" s="36"/>
      <c r="BC179" s="36"/>
      <c r="BD179" s="36"/>
      <c r="BE179" s="41"/>
      <c r="BF179" s="41"/>
      <c r="BG179" s="41"/>
      <c r="BH179" s="41"/>
      <c r="BI179" s="42"/>
      <c r="BJ179" s="36"/>
      <c r="BK179" s="41"/>
      <c r="BL179" s="63"/>
      <c r="BM179" s="41"/>
      <c r="BN179" s="43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73"/>
      <c r="CB179" s="36"/>
      <c r="CC179" s="36"/>
      <c r="CD179" s="36"/>
      <c r="CE179" s="36"/>
      <c r="CF179" s="103"/>
      <c r="CG179" s="238"/>
      <c r="CH179" s="239"/>
      <c r="CI179" s="36"/>
      <c r="CJ179" s="36"/>
      <c r="CK179" s="36"/>
      <c r="CL179" s="36"/>
      <c r="CM179" s="36"/>
      <c r="CN179" s="36"/>
      <c r="CO179" s="36"/>
      <c r="CP179" s="36"/>
      <c r="CQ179" s="61"/>
      <c r="CR179" s="41"/>
      <c r="CS179" s="66"/>
      <c r="CT179" s="66"/>
      <c r="CU179" s="66"/>
      <c r="CV179" s="66"/>
      <c r="CW179" s="6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61"/>
      <c r="DL179" s="56"/>
      <c r="DM179" s="57"/>
      <c r="DN179" s="41"/>
      <c r="DO179" s="56"/>
      <c r="DP179" s="57"/>
      <c r="DQ179" s="57"/>
      <c r="DR179" s="41"/>
      <c r="DS179" s="41"/>
      <c r="DT179" s="41"/>
      <c r="DU179" s="41"/>
    </row>
    <row r="180" spans="1:125" s="48" customFormat="1" ht="16.5" customHeight="1" x14ac:dyDescent="0.3">
      <c r="A180" s="34"/>
      <c r="B180" s="74"/>
      <c r="C180" s="36"/>
      <c r="D180" s="36"/>
      <c r="E180" s="36"/>
      <c r="F180" s="36"/>
      <c r="G180" s="36"/>
      <c r="H180" s="36"/>
      <c r="I180" s="36"/>
      <c r="J180" s="36"/>
      <c r="K180" s="37"/>
      <c r="L180" s="37"/>
      <c r="M180" s="36"/>
      <c r="N180" s="36"/>
      <c r="O180" s="36"/>
      <c r="P180" s="37"/>
      <c r="Q180" s="36"/>
      <c r="R180" s="36"/>
      <c r="S180" s="39"/>
      <c r="T180" s="39"/>
      <c r="U180" s="41"/>
      <c r="V180" s="41"/>
      <c r="W180" s="41"/>
      <c r="X180" s="41"/>
      <c r="Y180" s="41"/>
      <c r="Z180" s="36"/>
      <c r="AA180" s="36"/>
      <c r="AB180" s="36"/>
      <c r="AC180" s="42"/>
      <c r="AD180" s="40"/>
      <c r="AE180" s="41"/>
      <c r="AF180" s="41"/>
      <c r="AG180" s="41"/>
      <c r="AH180" s="41"/>
      <c r="AI180" s="41"/>
      <c r="AJ180" s="36"/>
      <c r="AK180" s="36"/>
      <c r="AL180" s="36"/>
      <c r="AM180" s="42"/>
      <c r="AN180" s="43"/>
      <c r="AO180" s="44"/>
      <c r="AP180" s="41"/>
      <c r="AQ180" s="41"/>
      <c r="AR180" s="41"/>
      <c r="AS180" s="41"/>
      <c r="AT180" s="41"/>
      <c r="AU180" s="41"/>
      <c r="AV180" s="41"/>
      <c r="AW180" s="41"/>
      <c r="AX180" s="36"/>
      <c r="AY180" s="36"/>
      <c r="AZ180" s="36"/>
      <c r="BA180" s="36"/>
      <c r="BB180" s="36"/>
      <c r="BC180" s="36"/>
      <c r="BD180" s="36"/>
      <c r="BE180" s="41"/>
      <c r="BF180" s="41"/>
      <c r="BG180" s="41"/>
      <c r="BH180" s="41"/>
      <c r="BI180" s="42"/>
      <c r="BJ180" s="36"/>
      <c r="BK180" s="36"/>
      <c r="BL180" s="63"/>
      <c r="BM180" s="41"/>
      <c r="BN180" s="4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73"/>
      <c r="CB180" s="36"/>
      <c r="CC180" s="36"/>
      <c r="CD180" s="36"/>
      <c r="CE180" s="36"/>
      <c r="CF180" s="61"/>
      <c r="CG180" s="238"/>
      <c r="CH180" s="239"/>
      <c r="CI180" s="36"/>
      <c r="CJ180" s="36"/>
      <c r="CK180" s="36"/>
      <c r="CL180" s="36"/>
      <c r="CM180" s="36"/>
      <c r="CN180" s="36"/>
      <c r="CO180" s="36"/>
      <c r="CP180" s="36"/>
      <c r="CQ180" s="61"/>
      <c r="CR180" s="41"/>
      <c r="CS180" s="66"/>
      <c r="CT180" s="66"/>
      <c r="CU180" s="66"/>
      <c r="CV180" s="66"/>
      <c r="CW180" s="6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61"/>
      <c r="DL180" s="56"/>
      <c r="DM180" s="57"/>
      <c r="DN180" s="41"/>
      <c r="DO180" s="56"/>
      <c r="DP180" s="57"/>
      <c r="DQ180" s="57"/>
      <c r="DR180" s="41"/>
      <c r="DS180" s="41"/>
      <c r="DT180" s="41"/>
      <c r="DU180" s="41"/>
    </row>
    <row r="181" spans="1:125" s="48" customFormat="1" ht="16.5" customHeight="1" x14ac:dyDescent="0.3">
      <c r="A181" s="34"/>
      <c r="B181" s="74"/>
      <c r="C181" s="36"/>
      <c r="D181" s="36"/>
      <c r="E181" s="36"/>
      <c r="F181" s="36"/>
      <c r="G181" s="36"/>
      <c r="H181" s="36"/>
      <c r="I181" s="36"/>
      <c r="J181" s="36"/>
      <c r="K181" s="37"/>
      <c r="L181" s="37"/>
      <c r="M181" s="36"/>
      <c r="N181" s="36"/>
      <c r="O181" s="36"/>
      <c r="P181" s="37"/>
      <c r="Q181" s="36"/>
      <c r="R181" s="36"/>
      <c r="S181" s="39"/>
      <c r="T181" s="39"/>
      <c r="U181" s="41"/>
      <c r="V181" s="41"/>
      <c r="W181" s="41"/>
      <c r="X181" s="41"/>
      <c r="Y181" s="41"/>
      <c r="Z181" s="36"/>
      <c r="AA181" s="36"/>
      <c r="AB181" s="36"/>
      <c r="AC181" s="42"/>
      <c r="AD181" s="40"/>
      <c r="AE181" s="41"/>
      <c r="AF181" s="41"/>
      <c r="AG181" s="41"/>
      <c r="AH181" s="41"/>
      <c r="AI181" s="41"/>
      <c r="AJ181" s="36"/>
      <c r="AK181" s="36"/>
      <c r="AL181" s="36"/>
      <c r="AM181" s="42"/>
      <c r="AN181" s="43"/>
      <c r="AO181" s="44"/>
      <c r="AP181" s="41"/>
      <c r="AQ181" s="41"/>
      <c r="AR181" s="41"/>
      <c r="AS181" s="41"/>
      <c r="AT181" s="41"/>
      <c r="AU181" s="41"/>
      <c r="AV181" s="41"/>
      <c r="AW181" s="41"/>
      <c r="AX181" s="36"/>
      <c r="AY181" s="36"/>
      <c r="AZ181" s="36"/>
      <c r="BA181" s="36"/>
      <c r="BB181" s="36"/>
      <c r="BC181" s="36"/>
      <c r="BD181" s="36"/>
      <c r="BE181" s="41"/>
      <c r="BF181" s="41"/>
      <c r="BG181" s="41"/>
      <c r="BH181" s="41"/>
      <c r="BI181" s="42"/>
      <c r="BJ181" s="36"/>
      <c r="BK181" s="36"/>
      <c r="BL181" s="63"/>
      <c r="BM181" s="41"/>
      <c r="BN181" s="4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73"/>
      <c r="CB181" s="36"/>
      <c r="CC181" s="36"/>
      <c r="CD181" s="36"/>
      <c r="CE181" s="36"/>
      <c r="CF181" s="61"/>
      <c r="CG181" s="238"/>
      <c r="CH181" s="239"/>
      <c r="CI181" s="36"/>
      <c r="CJ181" s="36"/>
      <c r="CK181" s="36"/>
      <c r="CL181" s="36"/>
      <c r="CM181" s="36"/>
      <c r="CN181" s="36"/>
      <c r="CO181" s="36"/>
      <c r="CP181" s="36"/>
      <c r="CQ181" s="61"/>
      <c r="CR181" s="41"/>
      <c r="CS181" s="66"/>
      <c r="CT181" s="66"/>
      <c r="CU181" s="66"/>
      <c r="CV181" s="66"/>
      <c r="CW181" s="6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61"/>
      <c r="DL181" s="56"/>
      <c r="DM181" s="57"/>
      <c r="DN181" s="41"/>
      <c r="DO181" s="56"/>
      <c r="DP181" s="57"/>
      <c r="DQ181" s="57"/>
      <c r="DR181" s="41"/>
      <c r="DS181" s="41"/>
      <c r="DT181" s="41"/>
      <c r="DU181" s="41"/>
    </row>
    <row r="182" spans="1:125" s="48" customFormat="1" ht="16.5" customHeight="1" x14ac:dyDescent="0.3">
      <c r="A182" s="76"/>
      <c r="B182" s="74"/>
      <c r="C182" s="36"/>
      <c r="D182" s="36"/>
      <c r="E182" s="36"/>
      <c r="F182" s="36"/>
      <c r="G182" s="36"/>
      <c r="H182" s="36"/>
      <c r="I182" s="36"/>
      <c r="J182" s="36"/>
      <c r="K182" s="37"/>
      <c r="L182" s="37"/>
      <c r="M182" s="36"/>
      <c r="N182" s="36"/>
      <c r="O182" s="36"/>
      <c r="P182" s="37"/>
      <c r="Q182" s="36"/>
      <c r="R182" s="36"/>
      <c r="S182" s="39"/>
      <c r="T182" s="39"/>
      <c r="U182" s="41"/>
      <c r="V182" s="41"/>
      <c r="W182" s="41"/>
      <c r="X182" s="41"/>
      <c r="Y182" s="41"/>
      <c r="Z182" s="36"/>
      <c r="AA182" s="36"/>
      <c r="AB182" s="36"/>
      <c r="AC182" s="42"/>
      <c r="AD182" s="40"/>
      <c r="AE182" s="41"/>
      <c r="AF182" s="41"/>
      <c r="AG182" s="41"/>
      <c r="AH182" s="41"/>
      <c r="AI182" s="41"/>
      <c r="AJ182" s="36"/>
      <c r="AK182" s="36"/>
      <c r="AL182" s="36"/>
      <c r="AM182" s="42"/>
      <c r="AN182" s="43"/>
      <c r="AO182" s="44"/>
      <c r="AP182" s="41"/>
      <c r="AQ182" s="41"/>
      <c r="AR182" s="41"/>
      <c r="AS182" s="41"/>
      <c r="AT182" s="41"/>
      <c r="AU182" s="41"/>
      <c r="AV182" s="41"/>
      <c r="AW182" s="41"/>
      <c r="AX182" s="36"/>
      <c r="AY182" s="36"/>
      <c r="AZ182" s="36"/>
      <c r="BA182" s="36"/>
      <c r="BB182" s="36"/>
      <c r="BC182" s="36"/>
      <c r="BD182" s="36"/>
      <c r="BE182" s="41"/>
      <c r="BF182" s="41"/>
      <c r="BG182" s="41"/>
      <c r="BH182" s="41"/>
      <c r="BI182" s="42"/>
      <c r="BJ182" s="36"/>
      <c r="BK182" s="36"/>
      <c r="BL182" s="63"/>
      <c r="BM182" s="41"/>
      <c r="BN182" s="4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73"/>
      <c r="CB182" s="36"/>
      <c r="CC182" s="36"/>
      <c r="CD182" s="36"/>
      <c r="CE182" s="36"/>
      <c r="CF182" s="61"/>
      <c r="CG182" s="238"/>
      <c r="CH182" s="239"/>
      <c r="CI182" s="36"/>
      <c r="CJ182" s="36"/>
      <c r="CK182" s="36"/>
      <c r="CL182" s="36"/>
      <c r="CM182" s="36"/>
      <c r="CN182" s="36"/>
      <c r="CO182" s="36"/>
      <c r="CP182" s="36"/>
      <c r="CQ182" s="61"/>
      <c r="CR182" s="41"/>
      <c r="CS182" s="66"/>
      <c r="CT182" s="66"/>
      <c r="CU182" s="66"/>
      <c r="CV182" s="66"/>
      <c r="CW182" s="6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61"/>
      <c r="DL182" s="56"/>
      <c r="DM182" s="57"/>
      <c r="DN182" s="41"/>
      <c r="DO182" s="56"/>
      <c r="DP182" s="57"/>
      <c r="DQ182" s="57"/>
      <c r="DR182" s="41"/>
      <c r="DS182" s="41"/>
      <c r="DT182" s="41"/>
      <c r="DU182" s="41"/>
    </row>
    <row r="183" spans="1:125" s="48" customFormat="1" ht="16.5" customHeight="1" x14ac:dyDescent="0.3">
      <c r="A183" s="76"/>
      <c r="B183" s="74"/>
      <c r="C183" s="36"/>
      <c r="D183" s="36"/>
      <c r="E183" s="36"/>
      <c r="F183" s="36"/>
      <c r="G183" s="36"/>
      <c r="H183" s="36"/>
      <c r="I183" s="36"/>
      <c r="J183" s="36"/>
      <c r="K183" s="37"/>
      <c r="L183" s="37"/>
      <c r="M183" s="36"/>
      <c r="N183" s="36"/>
      <c r="O183" s="36"/>
      <c r="P183" s="37"/>
      <c r="Q183" s="36"/>
      <c r="R183" s="36"/>
      <c r="S183" s="39"/>
      <c r="T183" s="39"/>
      <c r="U183" s="41"/>
      <c r="V183" s="41"/>
      <c r="W183" s="41"/>
      <c r="X183" s="41"/>
      <c r="Y183" s="41"/>
      <c r="Z183" s="36"/>
      <c r="AA183" s="36"/>
      <c r="AB183" s="36"/>
      <c r="AC183" s="42"/>
      <c r="AD183" s="40"/>
      <c r="AE183" s="41"/>
      <c r="AF183" s="41"/>
      <c r="AG183" s="41"/>
      <c r="AH183" s="41"/>
      <c r="AI183" s="41"/>
      <c r="AJ183" s="36"/>
      <c r="AK183" s="36"/>
      <c r="AL183" s="36"/>
      <c r="AM183" s="42"/>
      <c r="AN183" s="43"/>
      <c r="AO183" s="44"/>
      <c r="AP183" s="41"/>
      <c r="AQ183" s="41"/>
      <c r="AR183" s="41"/>
      <c r="AS183" s="41"/>
      <c r="AT183" s="41"/>
      <c r="AU183" s="41"/>
      <c r="AV183" s="41"/>
      <c r="AW183" s="41"/>
      <c r="AX183" s="36"/>
      <c r="AY183" s="36"/>
      <c r="AZ183" s="36"/>
      <c r="BA183" s="36"/>
      <c r="BB183" s="36"/>
      <c r="BC183" s="36"/>
      <c r="BD183" s="36"/>
      <c r="BE183" s="41"/>
      <c r="BF183" s="41"/>
      <c r="BG183" s="41"/>
      <c r="BH183" s="41"/>
      <c r="BI183" s="42"/>
      <c r="BJ183" s="36"/>
      <c r="BK183" s="36"/>
      <c r="BL183" s="63"/>
      <c r="BM183" s="41"/>
      <c r="BN183" s="4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73"/>
      <c r="CB183" s="36"/>
      <c r="CC183" s="36"/>
      <c r="CD183" s="36"/>
      <c r="CE183" s="36"/>
      <c r="CF183" s="41"/>
      <c r="CG183" s="238"/>
      <c r="CH183" s="239"/>
      <c r="CI183" s="36"/>
      <c r="CJ183" s="36"/>
      <c r="CK183" s="36"/>
      <c r="CL183" s="36"/>
      <c r="CM183" s="36"/>
      <c r="CN183" s="36"/>
      <c r="CO183" s="36"/>
      <c r="CP183" s="36"/>
      <c r="CQ183" s="61"/>
      <c r="CR183" s="41"/>
      <c r="CS183" s="66"/>
      <c r="CT183" s="66"/>
      <c r="CU183" s="66"/>
      <c r="CV183" s="66"/>
      <c r="CW183" s="6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61"/>
      <c r="DL183" s="56"/>
      <c r="DM183" s="57"/>
      <c r="DN183" s="41"/>
      <c r="DO183" s="56"/>
      <c r="DP183" s="57"/>
      <c r="DQ183" s="57"/>
      <c r="DR183" s="41"/>
      <c r="DS183" s="41"/>
      <c r="DT183" s="41"/>
      <c r="DU183" s="41"/>
    </row>
    <row r="184" spans="1:125" s="48" customFormat="1" ht="16.5" customHeight="1" x14ac:dyDescent="0.3">
      <c r="A184" s="76"/>
      <c r="B184" s="74"/>
      <c r="C184" s="36"/>
      <c r="D184" s="36"/>
      <c r="E184" s="36"/>
      <c r="F184" s="36"/>
      <c r="G184" s="36"/>
      <c r="H184" s="36"/>
      <c r="I184" s="36"/>
      <c r="J184" s="36"/>
      <c r="K184" s="37"/>
      <c r="L184" s="37"/>
      <c r="M184" s="36"/>
      <c r="N184" s="36"/>
      <c r="O184" s="36"/>
      <c r="P184" s="37"/>
      <c r="Q184" s="36"/>
      <c r="R184" s="36"/>
      <c r="S184" s="39"/>
      <c r="T184" s="39"/>
      <c r="U184" s="41"/>
      <c r="V184" s="41"/>
      <c r="W184" s="41"/>
      <c r="X184" s="41"/>
      <c r="Y184" s="41"/>
      <c r="Z184" s="36"/>
      <c r="AA184" s="36"/>
      <c r="AB184" s="36"/>
      <c r="AC184" s="42"/>
      <c r="AD184" s="40"/>
      <c r="AE184" s="41"/>
      <c r="AF184" s="41"/>
      <c r="AG184" s="41"/>
      <c r="AH184" s="41"/>
      <c r="AI184" s="41"/>
      <c r="AJ184" s="36"/>
      <c r="AK184" s="36"/>
      <c r="AL184" s="36"/>
      <c r="AM184" s="42"/>
      <c r="AN184" s="43"/>
      <c r="AO184" s="44"/>
      <c r="AP184" s="41"/>
      <c r="AQ184" s="41"/>
      <c r="AR184" s="41"/>
      <c r="AS184" s="41"/>
      <c r="AT184" s="41"/>
      <c r="AU184" s="41"/>
      <c r="AV184" s="41"/>
      <c r="AW184" s="41"/>
      <c r="AX184" s="36"/>
      <c r="AY184" s="36"/>
      <c r="AZ184" s="36"/>
      <c r="BA184" s="36"/>
      <c r="BB184" s="36"/>
      <c r="BC184" s="36"/>
      <c r="BD184" s="36"/>
      <c r="BE184" s="41"/>
      <c r="BF184" s="41"/>
      <c r="BG184" s="41"/>
      <c r="BH184" s="41"/>
      <c r="BI184" s="42"/>
      <c r="BJ184" s="36"/>
      <c r="BK184" s="36"/>
      <c r="BL184" s="63"/>
      <c r="BM184" s="41"/>
      <c r="BN184" s="4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73"/>
      <c r="CB184" s="36"/>
      <c r="CC184" s="36"/>
      <c r="CD184" s="36"/>
      <c r="CE184" s="36"/>
      <c r="CF184" s="41"/>
      <c r="CG184" s="238"/>
      <c r="CH184" s="239"/>
      <c r="CI184" s="36"/>
      <c r="CJ184" s="36"/>
      <c r="CK184" s="36"/>
      <c r="CL184" s="36"/>
      <c r="CM184" s="36"/>
      <c r="CN184" s="36"/>
      <c r="CO184" s="36"/>
      <c r="CP184" s="36"/>
      <c r="CQ184" s="61"/>
      <c r="CR184" s="41"/>
      <c r="CS184" s="66"/>
      <c r="CT184" s="66"/>
      <c r="CU184" s="66"/>
      <c r="CV184" s="66"/>
      <c r="CW184" s="6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61"/>
      <c r="DL184" s="56"/>
      <c r="DM184" s="57"/>
      <c r="DN184" s="41"/>
      <c r="DO184" s="56"/>
      <c r="DP184" s="57"/>
      <c r="DQ184" s="57"/>
      <c r="DR184" s="41"/>
      <c r="DS184" s="41"/>
      <c r="DT184" s="41"/>
      <c r="DU184" s="41"/>
    </row>
    <row r="185" spans="1:125" s="48" customFormat="1" ht="16.5" customHeight="1" x14ac:dyDescent="0.3">
      <c r="A185" s="76"/>
      <c r="B185" s="74"/>
      <c r="C185" s="36"/>
      <c r="D185" s="36"/>
      <c r="E185" s="36"/>
      <c r="F185" s="36"/>
      <c r="G185" s="36"/>
      <c r="H185" s="36"/>
      <c r="I185" s="36"/>
      <c r="J185" s="36"/>
      <c r="K185" s="37"/>
      <c r="L185" s="37"/>
      <c r="M185" s="36"/>
      <c r="N185" s="36"/>
      <c r="O185" s="36"/>
      <c r="P185" s="37"/>
      <c r="Q185" s="36"/>
      <c r="R185" s="36"/>
      <c r="S185" s="39"/>
      <c r="T185" s="39"/>
      <c r="U185" s="41"/>
      <c r="V185" s="41"/>
      <c r="W185" s="41"/>
      <c r="X185" s="41"/>
      <c r="Y185" s="41"/>
      <c r="Z185" s="36"/>
      <c r="AA185" s="36"/>
      <c r="AB185" s="36"/>
      <c r="AC185" s="42"/>
      <c r="AD185" s="40"/>
      <c r="AE185" s="41"/>
      <c r="AF185" s="41"/>
      <c r="AG185" s="41"/>
      <c r="AH185" s="41"/>
      <c r="AI185" s="41"/>
      <c r="AJ185" s="36"/>
      <c r="AK185" s="36"/>
      <c r="AL185" s="36"/>
      <c r="AM185" s="42"/>
      <c r="AN185" s="43"/>
      <c r="AO185" s="44"/>
      <c r="AP185" s="41"/>
      <c r="AQ185" s="41"/>
      <c r="AR185" s="41"/>
      <c r="AS185" s="41"/>
      <c r="AT185" s="41"/>
      <c r="AU185" s="41"/>
      <c r="AV185" s="41"/>
      <c r="AW185" s="41"/>
      <c r="AX185" s="36"/>
      <c r="AY185" s="36"/>
      <c r="AZ185" s="36"/>
      <c r="BA185" s="36"/>
      <c r="BB185" s="36"/>
      <c r="BC185" s="36"/>
      <c r="BD185" s="36"/>
      <c r="BE185" s="41"/>
      <c r="BF185" s="41"/>
      <c r="BG185" s="41"/>
      <c r="BH185" s="41"/>
      <c r="BI185" s="42"/>
      <c r="BJ185" s="36"/>
      <c r="BK185" s="36"/>
      <c r="BL185" s="63"/>
      <c r="BM185" s="41"/>
      <c r="BN185" s="4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73"/>
      <c r="CB185" s="36"/>
      <c r="CC185" s="36"/>
      <c r="CD185" s="36"/>
      <c r="CE185" s="36"/>
      <c r="CF185" s="61"/>
      <c r="CG185" s="238"/>
      <c r="CH185" s="239"/>
      <c r="CI185" s="36"/>
      <c r="CJ185" s="36"/>
      <c r="CK185" s="36"/>
      <c r="CL185" s="36"/>
      <c r="CM185" s="36"/>
      <c r="CN185" s="36"/>
      <c r="CO185" s="36"/>
      <c r="CP185" s="36"/>
      <c r="CQ185" s="61"/>
      <c r="CR185" s="41"/>
      <c r="CS185" s="66"/>
      <c r="CT185" s="66"/>
      <c r="CU185" s="66"/>
      <c r="CV185" s="66"/>
      <c r="CW185" s="6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61"/>
      <c r="DL185" s="56"/>
      <c r="DM185" s="57"/>
      <c r="DN185" s="41"/>
      <c r="DO185" s="56"/>
      <c r="DP185" s="57"/>
      <c r="DQ185" s="57"/>
      <c r="DR185" s="41"/>
      <c r="DS185" s="41"/>
      <c r="DT185" s="41"/>
      <c r="DU185" s="41"/>
    </row>
    <row r="186" spans="1:125" s="48" customFormat="1" ht="16.5" customHeight="1" x14ac:dyDescent="0.3">
      <c r="A186" s="76"/>
      <c r="B186" s="74"/>
      <c r="C186" s="36"/>
      <c r="D186" s="36"/>
      <c r="E186" s="36"/>
      <c r="F186" s="36"/>
      <c r="G186" s="36"/>
      <c r="H186" s="36"/>
      <c r="I186" s="36"/>
      <c r="J186" s="36"/>
      <c r="K186" s="37"/>
      <c r="L186" s="37"/>
      <c r="M186" s="36"/>
      <c r="N186" s="36"/>
      <c r="O186" s="36"/>
      <c r="P186" s="37"/>
      <c r="Q186" s="36"/>
      <c r="R186" s="36"/>
      <c r="S186" s="39"/>
      <c r="T186" s="39"/>
      <c r="U186" s="41"/>
      <c r="V186" s="41"/>
      <c r="W186" s="41"/>
      <c r="X186" s="41"/>
      <c r="Y186" s="41"/>
      <c r="Z186" s="36"/>
      <c r="AA186" s="36"/>
      <c r="AB186" s="36"/>
      <c r="AC186" s="42"/>
      <c r="AD186" s="40"/>
      <c r="AE186" s="41"/>
      <c r="AF186" s="41"/>
      <c r="AG186" s="41"/>
      <c r="AH186" s="41"/>
      <c r="AI186" s="41"/>
      <c r="AJ186" s="36"/>
      <c r="AK186" s="36"/>
      <c r="AL186" s="36"/>
      <c r="AM186" s="42"/>
      <c r="AN186" s="43"/>
      <c r="AO186" s="44"/>
      <c r="AP186" s="41"/>
      <c r="AQ186" s="41"/>
      <c r="AR186" s="41"/>
      <c r="AS186" s="41"/>
      <c r="AT186" s="41"/>
      <c r="AU186" s="41"/>
      <c r="AV186" s="41"/>
      <c r="AW186" s="41"/>
      <c r="AX186" s="36"/>
      <c r="AY186" s="36"/>
      <c r="AZ186" s="36"/>
      <c r="BA186" s="36"/>
      <c r="BB186" s="36"/>
      <c r="BC186" s="36"/>
      <c r="BD186" s="36"/>
      <c r="BE186" s="41"/>
      <c r="BF186" s="41"/>
      <c r="BG186" s="41"/>
      <c r="BH186" s="41"/>
      <c r="BI186" s="42"/>
      <c r="BJ186" s="36"/>
      <c r="BK186" s="36"/>
      <c r="BL186" s="63"/>
      <c r="BM186" s="41"/>
      <c r="BN186" s="4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73"/>
      <c r="CB186" s="36"/>
      <c r="CC186" s="36"/>
      <c r="CD186" s="36"/>
      <c r="CE186" s="36"/>
      <c r="CF186" s="61"/>
      <c r="CG186" s="238"/>
      <c r="CH186" s="239"/>
      <c r="CI186" s="36"/>
      <c r="CJ186" s="36"/>
      <c r="CK186" s="36"/>
      <c r="CL186" s="36"/>
      <c r="CM186" s="36"/>
      <c r="CN186" s="36"/>
      <c r="CO186" s="36"/>
      <c r="CP186" s="36"/>
      <c r="CQ186" s="61"/>
      <c r="CR186" s="41"/>
      <c r="CS186" s="66"/>
      <c r="CT186" s="66"/>
      <c r="CU186" s="66"/>
      <c r="CV186" s="66"/>
      <c r="CW186" s="6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61"/>
      <c r="DL186" s="56"/>
      <c r="DM186" s="57"/>
      <c r="DN186" s="41"/>
      <c r="DO186" s="56"/>
      <c r="DP186" s="57"/>
      <c r="DQ186" s="57"/>
      <c r="DR186" s="41"/>
      <c r="DS186" s="41"/>
      <c r="DT186" s="41"/>
      <c r="DU186" s="41"/>
    </row>
    <row r="187" spans="1:125" s="48" customFormat="1" ht="16.5" customHeight="1" x14ac:dyDescent="0.3">
      <c r="A187" s="76"/>
      <c r="B187" s="74"/>
      <c r="C187" s="36"/>
      <c r="D187" s="36"/>
      <c r="E187" s="36"/>
      <c r="F187" s="36"/>
      <c r="G187" s="36"/>
      <c r="H187" s="36"/>
      <c r="I187" s="36"/>
      <c r="J187" s="36"/>
      <c r="K187" s="37"/>
      <c r="L187" s="37"/>
      <c r="M187" s="36"/>
      <c r="N187" s="36"/>
      <c r="O187" s="36"/>
      <c r="P187" s="37"/>
      <c r="Q187" s="36"/>
      <c r="R187" s="36"/>
      <c r="S187" s="39"/>
      <c r="T187" s="39"/>
      <c r="U187" s="41"/>
      <c r="V187" s="41"/>
      <c r="W187" s="41"/>
      <c r="X187" s="41"/>
      <c r="Y187" s="41"/>
      <c r="Z187" s="36"/>
      <c r="AA187" s="36"/>
      <c r="AB187" s="36"/>
      <c r="AC187" s="42"/>
      <c r="AD187" s="40"/>
      <c r="AE187" s="41"/>
      <c r="AF187" s="41"/>
      <c r="AG187" s="41"/>
      <c r="AH187" s="41"/>
      <c r="AI187" s="41"/>
      <c r="AJ187" s="36"/>
      <c r="AK187" s="36"/>
      <c r="AL187" s="36"/>
      <c r="AM187" s="42"/>
      <c r="AN187" s="43"/>
      <c r="AO187" s="44"/>
      <c r="AP187" s="41"/>
      <c r="AQ187" s="41"/>
      <c r="AR187" s="41"/>
      <c r="AS187" s="41"/>
      <c r="AT187" s="41"/>
      <c r="AU187" s="41"/>
      <c r="AV187" s="41"/>
      <c r="AW187" s="41"/>
      <c r="AX187" s="36"/>
      <c r="AY187" s="36"/>
      <c r="AZ187" s="36"/>
      <c r="BA187" s="36"/>
      <c r="BB187" s="36"/>
      <c r="BC187" s="36"/>
      <c r="BD187" s="36"/>
      <c r="BE187" s="41"/>
      <c r="BF187" s="41"/>
      <c r="BG187" s="41"/>
      <c r="BH187" s="41"/>
      <c r="BI187" s="42"/>
      <c r="BJ187" s="36"/>
      <c r="BK187" s="36"/>
      <c r="BL187" s="63"/>
      <c r="BM187" s="41"/>
      <c r="BN187" s="4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73"/>
      <c r="CB187" s="36"/>
      <c r="CC187" s="36"/>
      <c r="CD187" s="36"/>
      <c r="CE187" s="36"/>
      <c r="CF187" s="61"/>
      <c r="CG187" s="238"/>
      <c r="CH187" s="239"/>
      <c r="CI187" s="36"/>
      <c r="CJ187" s="36"/>
      <c r="CK187" s="36"/>
      <c r="CL187" s="36"/>
      <c r="CM187" s="36"/>
      <c r="CN187" s="36"/>
      <c r="CO187" s="36"/>
      <c r="CP187" s="36"/>
      <c r="CQ187" s="61"/>
      <c r="CR187" s="41"/>
      <c r="CS187" s="66"/>
      <c r="CT187" s="66"/>
      <c r="CU187" s="66"/>
      <c r="CV187" s="66"/>
      <c r="CW187" s="6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61"/>
      <c r="DL187" s="56"/>
      <c r="DM187" s="57"/>
      <c r="DN187" s="41"/>
      <c r="DO187" s="56"/>
      <c r="DP187" s="57"/>
      <c r="DQ187" s="57"/>
      <c r="DR187" s="41"/>
      <c r="DS187" s="41"/>
      <c r="DT187" s="41"/>
      <c r="DU187" s="41"/>
    </row>
    <row r="188" spans="1:125" s="48" customFormat="1" ht="16.5" customHeight="1" x14ac:dyDescent="0.3">
      <c r="A188" s="76"/>
      <c r="B188" s="74"/>
      <c r="C188" s="36"/>
      <c r="D188" s="36"/>
      <c r="E188" s="36"/>
      <c r="F188" s="36"/>
      <c r="G188" s="36"/>
      <c r="H188" s="36"/>
      <c r="I188" s="36"/>
      <c r="J188" s="36"/>
      <c r="K188" s="37"/>
      <c r="L188" s="37"/>
      <c r="M188" s="36"/>
      <c r="N188" s="36"/>
      <c r="O188" s="36"/>
      <c r="P188" s="37"/>
      <c r="Q188" s="36"/>
      <c r="R188" s="36"/>
      <c r="S188" s="39"/>
      <c r="T188" s="39"/>
      <c r="U188" s="41"/>
      <c r="V188" s="41"/>
      <c r="W188" s="41"/>
      <c r="X188" s="41"/>
      <c r="Y188" s="41"/>
      <c r="Z188" s="36"/>
      <c r="AA188" s="36"/>
      <c r="AB188" s="36"/>
      <c r="AC188" s="42"/>
      <c r="AD188" s="40"/>
      <c r="AE188" s="41"/>
      <c r="AF188" s="41"/>
      <c r="AG188" s="41"/>
      <c r="AH188" s="41"/>
      <c r="AI188" s="41"/>
      <c r="AJ188" s="36"/>
      <c r="AK188" s="36"/>
      <c r="AL188" s="36"/>
      <c r="AM188" s="42"/>
      <c r="AN188" s="43"/>
      <c r="AO188" s="44"/>
      <c r="AP188" s="41"/>
      <c r="AQ188" s="41"/>
      <c r="AR188" s="41"/>
      <c r="AS188" s="41"/>
      <c r="AT188" s="41"/>
      <c r="AU188" s="41"/>
      <c r="AV188" s="41"/>
      <c r="AW188" s="41"/>
      <c r="AX188" s="36"/>
      <c r="AY188" s="36"/>
      <c r="AZ188" s="36"/>
      <c r="BA188" s="36"/>
      <c r="BB188" s="36"/>
      <c r="BC188" s="36"/>
      <c r="BD188" s="36"/>
      <c r="BE188" s="41"/>
      <c r="BF188" s="41"/>
      <c r="BG188" s="41"/>
      <c r="BH188" s="41"/>
      <c r="BI188" s="42"/>
      <c r="BJ188" s="36"/>
      <c r="BK188" s="36"/>
      <c r="BL188" s="63"/>
      <c r="BM188" s="41"/>
      <c r="BN188" s="4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73"/>
      <c r="CB188" s="36"/>
      <c r="CC188" s="36"/>
      <c r="CD188" s="36"/>
      <c r="CE188" s="36"/>
      <c r="CF188" s="61"/>
      <c r="CG188" s="238"/>
      <c r="CH188" s="239"/>
      <c r="CI188" s="36"/>
      <c r="CJ188" s="36"/>
      <c r="CK188" s="36"/>
      <c r="CL188" s="36"/>
      <c r="CM188" s="36"/>
      <c r="CN188" s="36"/>
      <c r="CO188" s="36"/>
      <c r="CP188" s="36"/>
      <c r="CQ188" s="61"/>
      <c r="CR188" s="41"/>
      <c r="CS188" s="66"/>
      <c r="CT188" s="66"/>
      <c r="CU188" s="66"/>
      <c r="CV188" s="66"/>
      <c r="CW188" s="6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61"/>
      <c r="DL188" s="56"/>
      <c r="DM188" s="57"/>
      <c r="DN188" s="41"/>
      <c r="DO188" s="56"/>
      <c r="DP188" s="57"/>
      <c r="DQ188" s="57"/>
      <c r="DR188" s="41"/>
      <c r="DS188" s="41"/>
      <c r="DT188" s="41"/>
      <c r="DU188" s="41"/>
    </row>
    <row r="189" spans="1:125" s="48" customFormat="1" ht="16.5" customHeight="1" x14ac:dyDescent="0.3">
      <c r="A189" s="76"/>
      <c r="B189" s="74"/>
      <c r="C189" s="36"/>
      <c r="D189" s="36"/>
      <c r="E189" s="36"/>
      <c r="F189" s="36"/>
      <c r="G189" s="36"/>
      <c r="H189" s="36"/>
      <c r="I189" s="36"/>
      <c r="J189" s="36"/>
      <c r="K189" s="37"/>
      <c r="L189" s="37"/>
      <c r="M189" s="36"/>
      <c r="N189" s="36"/>
      <c r="O189" s="36"/>
      <c r="P189" s="37"/>
      <c r="Q189" s="36"/>
      <c r="R189" s="36"/>
      <c r="S189" s="39"/>
      <c r="T189" s="39"/>
      <c r="U189" s="41"/>
      <c r="V189" s="41"/>
      <c r="W189" s="41"/>
      <c r="X189" s="41"/>
      <c r="Y189" s="41"/>
      <c r="Z189" s="36"/>
      <c r="AA189" s="36"/>
      <c r="AB189" s="36"/>
      <c r="AC189" s="42"/>
      <c r="AD189" s="40"/>
      <c r="AE189" s="41"/>
      <c r="AF189" s="41"/>
      <c r="AG189" s="41"/>
      <c r="AH189" s="41"/>
      <c r="AI189" s="41"/>
      <c r="AJ189" s="36"/>
      <c r="AK189" s="36"/>
      <c r="AL189" s="36"/>
      <c r="AM189" s="42"/>
      <c r="AN189" s="43"/>
      <c r="AO189" s="44"/>
      <c r="AP189" s="41"/>
      <c r="AQ189" s="41"/>
      <c r="AR189" s="41"/>
      <c r="AS189" s="41"/>
      <c r="AT189" s="41"/>
      <c r="AU189" s="41"/>
      <c r="AV189" s="41"/>
      <c r="AW189" s="41"/>
      <c r="AX189" s="36"/>
      <c r="AY189" s="36"/>
      <c r="AZ189" s="36"/>
      <c r="BA189" s="36"/>
      <c r="BB189" s="36"/>
      <c r="BC189" s="36"/>
      <c r="BD189" s="36"/>
      <c r="BE189" s="41"/>
      <c r="BF189" s="41"/>
      <c r="BG189" s="41"/>
      <c r="BH189" s="41"/>
      <c r="BI189" s="42"/>
      <c r="BJ189" s="36"/>
      <c r="BK189" s="36"/>
      <c r="BL189" s="63"/>
      <c r="BM189" s="41"/>
      <c r="BN189" s="4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73"/>
      <c r="CB189" s="36"/>
      <c r="CC189" s="36"/>
      <c r="CD189" s="36"/>
      <c r="CE189" s="36"/>
      <c r="CF189" s="61"/>
      <c r="CG189" s="238"/>
      <c r="CH189" s="239"/>
      <c r="CI189" s="36"/>
      <c r="CJ189" s="36"/>
      <c r="CK189" s="36"/>
      <c r="CL189" s="36"/>
      <c r="CM189" s="36"/>
      <c r="CN189" s="36"/>
      <c r="CO189" s="36"/>
      <c r="CP189" s="36"/>
      <c r="CQ189" s="61"/>
      <c r="CR189" s="41"/>
      <c r="CS189" s="66"/>
      <c r="CT189" s="66"/>
      <c r="CU189" s="66"/>
      <c r="CV189" s="66"/>
      <c r="CW189" s="6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61"/>
      <c r="DL189" s="56"/>
      <c r="DM189" s="57"/>
      <c r="DN189" s="41"/>
      <c r="DO189" s="56"/>
      <c r="DP189" s="57"/>
      <c r="DQ189" s="57"/>
      <c r="DR189" s="41"/>
      <c r="DS189" s="41"/>
      <c r="DT189" s="41"/>
      <c r="DU189" s="41"/>
    </row>
    <row r="190" spans="1:125" s="48" customFormat="1" ht="16.5" customHeight="1" x14ac:dyDescent="0.3">
      <c r="A190" s="76"/>
      <c r="B190" s="74"/>
      <c r="C190" s="36"/>
      <c r="D190" s="36"/>
      <c r="E190" s="36"/>
      <c r="F190" s="36"/>
      <c r="G190" s="36"/>
      <c r="H190" s="36"/>
      <c r="I190" s="36"/>
      <c r="J190" s="36"/>
      <c r="K190" s="37"/>
      <c r="L190" s="37"/>
      <c r="M190" s="36"/>
      <c r="N190" s="36"/>
      <c r="O190" s="36"/>
      <c r="P190" s="37"/>
      <c r="Q190" s="36"/>
      <c r="R190" s="36"/>
      <c r="S190" s="39"/>
      <c r="T190" s="39"/>
      <c r="U190" s="41"/>
      <c r="V190" s="41"/>
      <c r="W190" s="41"/>
      <c r="X190" s="41"/>
      <c r="Y190" s="41"/>
      <c r="Z190" s="36"/>
      <c r="AA190" s="36"/>
      <c r="AB190" s="36"/>
      <c r="AC190" s="42"/>
      <c r="AD190" s="40"/>
      <c r="AE190" s="41"/>
      <c r="AF190" s="41"/>
      <c r="AG190" s="41"/>
      <c r="AH190" s="41"/>
      <c r="AI190" s="41"/>
      <c r="AJ190" s="36"/>
      <c r="AK190" s="36"/>
      <c r="AL190" s="36"/>
      <c r="AM190" s="42"/>
      <c r="AN190" s="43"/>
      <c r="AO190" s="44"/>
      <c r="AP190" s="41"/>
      <c r="AQ190" s="41"/>
      <c r="AR190" s="41"/>
      <c r="AS190" s="41"/>
      <c r="AT190" s="41"/>
      <c r="AU190" s="41"/>
      <c r="AV190" s="41"/>
      <c r="AW190" s="41"/>
      <c r="AX190" s="36"/>
      <c r="AY190" s="36"/>
      <c r="AZ190" s="36"/>
      <c r="BA190" s="36"/>
      <c r="BB190" s="36"/>
      <c r="BC190" s="36"/>
      <c r="BD190" s="36"/>
      <c r="BE190" s="41"/>
      <c r="BF190" s="41"/>
      <c r="BG190" s="41"/>
      <c r="BH190" s="41"/>
      <c r="BI190" s="42"/>
      <c r="BJ190" s="36"/>
      <c r="BK190" s="36"/>
      <c r="BL190" s="63"/>
      <c r="BM190" s="41"/>
      <c r="BN190" s="4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73"/>
      <c r="CB190" s="36"/>
      <c r="CC190" s="36"/>
      <c r="CD190" s="36"/>
      <c r="CE190" s="36"/>
      <c r="CF190" s="61"/>
      <c r="CG190" s="238"/>
      <c r="CH190" s="239"/>
      <c r="CI190" s="36"/>
      <c r="CJ190" s="36"/>
      <c r="CK190" s="36"/>
      <c r="CL190" s="36"/>
      <c r="CM190" s="36"/>
      <c r="CN190" s="36"/>
      <c r="CO190" s="36"/>
      <c r="CP190" s="36"/>
      <c r="CQ190" s="61"/>
      <c r="CR190" s="41"/>
      <c r="CS190" s="66"/>
      <c r="CT190" s="66"/>
      <c r="CU190" s="66"/>
      <c r="CV190" s="66"/>
      <c r="CW190" s="6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61"/>
      <c r="DL190" s="56"/>
      <c r="DM190" s="57"/>
      <c r="DN190" s="41"/>
      <c r="DO190" s="56"/>
      <c r="DP190" s="57"/>
      <c r="DQ190" s="57"/>
      <c r="DR190" s="41"/>
      <c r="DS190" s="41"/>
      <c r="DT190" s="41"/>
      <c r="DU190" s="41"/>
    </row>
    <row r="191" spans="1:125" s="48" customFormat="1" ht="16.5" customHeight="1" x14ac:dyDescent="0.3">
      <c r="A191" s="76"/>
      <c r="B191" s="74"/>
      <c r="C191" s="36"/>
      <c r="D191" s="36"/>
      <c r="E191" s="36"/>
      <c r="F191" s="36"/>
      <c r="G191" s="36"/>
      <c r="H191" s="36"/>
      <c r="I191" s="36"/>
      <c r="J191" s="36"/>
      <c r="K191" s="37"/>
      <c r="L191" s="37"/>
      <c r="M191" s="36"/>
      <c r="N191" s="36"/>
      <c r="O191" s="36"/>
      <c r="P191" s="37"/>
      <c r="Q191" s="36"/>
      <c r="R191" s="36"/>
      <c r="S191" s="39"/>
      <c r="T191" s="39"/>
      <c r="U191" s="41"/>
      <c r="V191" s="41"/>
      <c r="W191" s="41"/>
      <c r="X191" s="41"/>
      <c r="Y191" s="41"/>
      <c r="Z191" s="36"/>
      <c r="AA191" s="36"/>
      <c r="AB191" s="36"/>
      <c r="AC191" s="42"/>
      <c r="AD191" s="40"/>
      <c r="AE191" s="41"/>
      <c r="AF191" s="41"/>
      <c r="AG191" s="41"/>
      <c r="AH191" s="41"/>
      <c r="AI191" s="41"/>
      <c r="AJ191" s="36"/>
      <c r="AK191" s="36"/>
      <c r="AL191" s="36"/>
      <c r="AM191" s="42"/>
      <c r="AN191" s="43"/>
      <c r="AO191" s="44"/>
      <c r="AP191" s="41"/>
      <c r="AQ191" s="41"/>
      <c r="AR191" s="41"/>
      <c r="AS191" s="41"/>
      <c r="AT191" s="41"/>
      <c r="AU191" s="41"/>
      <c r="AV191" s="41"/>
      <c r="AW191" s="41"/>
      <c r="AX191" s="36"/>
      <c r="AY191" s="36"/>
      <c r="AZ191" s="36"/>
      <c r="BA191" s="36"/>
      <c r="BB191" s="36"/>
      <c r="BC191" s="36"/>
      <c r="BD191" s="36"/>
      <c r="BE191" s="41"/>
      <c r="BF191" s="41"/>
      <c r="BG191" s="41"/>
      <c r="BH191" s="41"/>
      <c r="BI191" s="42"/>
      <c r="BJ191" s="36"/>
      <c r="BK191" s="36"/>
      <c r="BL191" s="63"/>
      <c r="BM191" s="41"/>
      <c r="BN191" s="4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73"/>
      <c r="CB191" s="36"/>
      <c r="CC191" s="36"/>
      <c r="CD191" s="36"/>
      <c r="CE191" s="36"/>
      <c r="CF191" s="61"/>
      <c r="CG191" s="238"/>
      <c r="CH191" s="239"/>
      <c r="CI191" s="36"/>
      <c r="CJ191" s="36"/>
      <c r="CK191" s="36"/>
      <c r="CL191" s="36"/>
      <c r="CM191" s="36"/>
      <c r="CN191" s="36"/>
      <c r="CO191" s="36"/>
      <c r="CP191" s="36"/>
      <c r="CQ191" s="61"/>
      <c r="CR191" s="41"/>
      <c r="CS191" s="66"/>
      <c r="CT191" s="66"/>
      <c r="CU191" s="66"/>
      <c r="CV191" s="66"/>
      <c r="CW191" s="6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61"/>
      <c r="DL191" s="56"/>
      <c r="DM191" s="57"/>
      <c r="DN191" s="41"/>
      <c r="DO191" s="56"/>
      <c r="DP191" s="57"/>
      <c r="DQ191" s="57"/>
      <c r="DR191" s="41"/>
      <c r="DS191" s="41"/>
      <c r="DT191" s="41"/>
      <c r="DU191" s="41"/>
    </row>
    <row r="192" spans="1:125" s="48" customFormat="1" ht="16.5" customHeight="1" x14ac:dyDescent="0.3">
      <c r="A192" s="76"/>
      <c r="B192" s="74"/>
      <c r="C192" s="36"/>
      <c r="D192" s="36"/>
      <c r="E192" s="36"/>
      <c r="F192" s="36"/>
      <c r="G192" s="36"/>
      <c r="H192" s="36"/>
      <c r="I192" s="36"/>
      <c r="J192" s="36"/>
      <c r="K192" s="37"/>
      <c r="L192" s="37"/>
      <c r="M192" s="36"/>
      <c r="N192" s="36"/>
      <c r="O192" s="36"/>
      <c r="P192" s="37"/>
      <c r="Q192" s="36"/>
      <c r="R192" s="36"/>
      <c r="S192" s="39"/>
      <c r="T192" s="39"/>
      <c r="U192" s="41"/>
      <c r="V192" s="41"/>
      <c r="W192" s="41"/>
      <c r="X192" s="41"/>
      <c r="Y192" s="41"/>
      <c r="Z192" s="36"/>
      <c r="AA192" s="36"/>
      <c r="AB192" s="36"/>
      <c r="AC192" s="42"/>
      <c r="AD192" s="40"/>
      <c r="AE192" s="41"/>
      <c r="AF192" s="41"/>
      <c r="AG192" s="41"/>
      <c r="AH192" s="41"/>
      <c r="AI192" s="41"/>
      <c r="AJ192" s="36"/>
      <c r="AK192" s="36"/>
      <c r="AL192" s="36"/>
      <c r="AM192" s="42"/>
      <c r="AN192" s="43"/>
      <c r="AO192" s="44"/>
      <c r="AP192" s="41"/>
      <c r="AQ192" s="41"/>
      <c r="AR192" s="41"/>
      <c r="AS192" s="41"/>
      <c r="AT192" s="41"/>
      <c r="AU192" s="41"/>
      <c r="AV192" s="41"/>
      <c r="AW192" s="41"/>
      <c r="AX192" s="36"/>
      <c r="AY192" s="36"/>
      <c r="AZ192" s="36"/>
      <c r="BA192" s="36"/>
      <c r="BB192" s="36"/>
      <c r="BC192" s="36"/>
      <c r="BD192" s="36"/>
      <c r="BE192" s="41"/>
      <c r="BF192" s="41"/>
      <c r="BG192" s="41"/>
      <c r="BH192" s="41"/>
      <c r="BI192" s="42"/>
      <c r="BJ192" s="36"/>
      <c r="BK192" s="36"/>
      <c r="BL192" s="63"/>
      <c r="BM192" s="41"/>
      <c r="BN192" s="4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73"/>
      <c r="CB192" s="36"/>
      <c r="CC192" s="36"/>
      <c r="CD192" s="36"/>
      <c r="CE192" s="36"/>
      <c r="CF192" s="61"/>
      <c r="CG192" s="238"/>
      <c r="CH192" s="239"/>
      <c r="CI192" s="36"/>
      <c r="CJ192" s="36"/>
      <c r="CK192" s="36"/>
      <c r="CL192" s="36"/>
      <c r="CM192" s="36"/>
      <c r="CN192" s="36"/>
      <c r="CO192" s="36"/>
      <c r="CP192" s="36"/>
      <c r="CQ192" s="61"/>
      <c r="CR192" s="41"/>
      <c r="CS192" s="66"/>
      <c r="CT192" s="66"/>
      <c r="CU192" s="66"/>
      <c r="CV192" s="66"/>
      <c r="CW192" s="6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61"/>
      <c r="DL192" s="56"/>
      <c r="DM192" s="57"/>
      <c r="DN192" s="41"/>
      <c r="DO192" s="56"/>
      <c r="DP192" s="57"/>
      <c r="DQ192" s="57"/>
      <c r="DR192" s="41"/>
      <c r="DS192" s="41"/>
      <c r="DT192" s="41"/>
      <c r="DU192" s="41"/>
    </row>
    <row r="193" spans="1:125" s="48" customFormat="1" ht="16.5" customHeight="1" x14ac:dyDescent="0.3">
      <c r="A193" s="76"/>
      <c r="B193" s="74"/>
      <c r="C193" s="36"/>
      <c r="D193" s="36"/>
      <c r="E193" s="36"/>
      <c r="F193" s="36"/>
      <c r="G193" s="36"/>
      <c r="H193" s="36"/>
      <c r="I193" s="36"/>
      <c r="J193" s="36"/>
      <c r="K193" s="37"/>
      <c r="L193" s="37"/>
      <c r="M193" s="36"/>
      <c r="N193" s="36"/>
      <c r="O193" s="36"/>
      <c r="P193" s="37"/>
      <c r="Q193" s="36"/>
      <c r="R193" s="36"/>
      <c r="S193" s="39"/>
      <c r="T193" s="39"/>
      <c r="U193" s="41"/>
      <c r="V193" s="41"/>
      <c r="W193" s="41"/>
      <c r="X193" s="41"/>
      <c r="Y193" s="41"/>
      <c r="Z193" s="36"/>
      <c r="AA193" s="36"/>
      <c r="AB193" s="36"/>
      <c r="AC193" s="42"/>
      <c r="AD193" s="40"/>
      <c r="AE193" s="41"/>
      <c r="AF193" s="41"/>
      <c r="AG193" s="41"/>
      <c r="AH193" s="41"/>
      <c r="AI193" s="41"/>
      <c r="AJ193" s="36"/>
      <c r="AK193" s="36"/>
      <c r="AL193" s="36"/>
      <c r="AM193" s="42"/>
      <c r="AN193" s="43"/>
      <c r="AO193" s="44"/>
      <c r="AP193" s="41"/>
      <c r="AQ193" s="41"/>
      <c r="AR193" s="41"/>
      <c r="AS193" s="41"/>
      <c r="AT193" s="41"/>
      <c r="AU193" s="41"/>
      <c r="AV193" s="41"/>
      <c r="AW193" s="41"/>
      <c r="AX193" s="36"/>
      <c r="AY193" s="36"/>
      <c r="AZ193" s="36"/>
      <c r="BA193" s="36"/>
      <c r="BB193" s="36"/>
      <c r="BC193" s="36"/>
      <c r="BD193" s="36"/>
      <c r="BE193" s="41"/>
      <c r="BF193" s="41"/>
      <c r="BG193" s="41"/>
      <c r="BH193" s="41"/>
      <c r="BI193" s="42"/>
      <c r="BJ193" s="36"/>
      <c r="BK193" s="36"/>
      <c r="BL193" s="63"/>
      <c r="BM193" s="41"/>
      <c r="BN193" s="4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73"/>
      <c r="CB193" s="36"/>
      <c r="CC193" s="36"/>
      <c r="CD193" s="36"/>
      <c r="CE193" s="36"/>
      <c r="CF193" s="61"/>
      <c r="CG193" s="183"/>
      <c r="CH193" s="184"/>
      <c r="CI193" s="36"/>
      <c r="CJ193" s="36"/>
      <c r="CK193" s="36"/>
      <c r="CL193" s="36"/>
      <c r="CM193" s="36"/>
      <c r="CN193" s="36"/>
      <c r="CO193" s="36"/>
      <c r="CP193" s="36"/>
      <c r="CQ193" s="61"/>
      <c r="CR193" s="41"/>
      <c r="CS193" s="66"/>
      <c r="CT193" s="66"/>
      <c r="CU193" s="66"/>
      <c r="CV193" s="66"/>
      <c r="CW193" s="6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61"/>
      <c r="DL193" s="56"/>
      <c r="DM193" s="57"/>
      <c r="DN193" s="41"/>
      <c r="DO193" s="56"/>
      <c r="DP193" s="57"/>
      <c r="DQ193" s="57"/>
      <c r="DR193" s="41"/>
      <c r="DS193" s="41"/>
      <c r="DT193" s="41"/>
      <c r="DU193" s="41"/>
    </row>
    <row r="194" spans="1:125" s="48" customFormat="1" ht="16.5" customHeight="1" x14ac:dyDescent="0.3">
      <c r="A194" s="76"/>
      <c r="B194" s="74"/>
      <c r="C194" s="36"/>
      <c r="D194" s="36"/>
      <c r="E194" s="36"/>
      <c r="F194" s="36"/>
      <c r="G194" s="36"/>
      <c r="H194" s="36"/>
      <c r="I194" s="36"/>
      <c r="J194" s="36"/>
      <c r="K194" s="37"/>
      <c r="L194" s="37"/>
      <c r="M194" s="36"/>
      <c r="N194" s="36"/>
      <c r="O194" s="36"/>
      <c r="P194" s="37"/>
      <c r="Q194" s="36"/>
      <c r="R194" s="36"/>
      <c r="S194" s="39"/>
      <c r="T194" s="39"/>
      <c r="U194" s="41"/>
      <c r="V194" s="41"/>
      <c r="W194" s="41"/>
      <c r="X194" s="41"/>
      <c r="Y194" s="41"/>
      <c r="Z194" s="36"/>
      <c r="AA194" s="36"/>
      <c r="AB194" s="36"/>
      <c r="AC194" s="42"/>
      <c r="AD194" s="40"/>
      <c r="AE194" s="41"/>
      <c r="AF194" s="41"/>
      <c r="AG194" s="41"/>
      <c r="AH194" s="41"/>
      <c r="AI194" s="41"/>
      <c r="AJ194" s="36"/>
      <c r="AK194" s="36"/>
      <c r="AL194" s="36"/>
      <c r="AM194" s="42"/>
      <c r="AN194" s="43"/>
      <c r="AO194" s="44"/>
      <c r="AP194" s="41"/>
      <c r="AQ194" s="41"/>
      <c r="AR194" s="41"/>
      <c r="AS194" s="41"/>
      <c r="AT194" s="41"/>
      <c r="AU194" s="41"/>
      <c r="AV194" s="41"/>
      <c r="AW194" s="41"/>
      <c r="AX194" s="36"/>
      <c r="AY194" s="36"/>
      <c r="AZ194" s="36"/>
      <c r="BA194" s="36"/>
      <c r="BB194" s="36"/>
      <c r="BC194" s="36"/>
      <c r="BD194" s="36"/>
      <c r="BE194" s="41"/>
      <c r="BF194" s="41"/>
      <c r="BG194" s="41"/>
      <c r="BH194" s="41"/>
      <c r="BI194" s="42"/>
      <c r="BJ194" s="36"/>
      <c r="BK194" s="36"/>
      <c r="BL194" s="63"/>
      <c r="BM194" s="41"/>
      <c r="BN194" s="4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73"/>
      <c r="CB194" s="36"/>
      <c r="CC194" s="36"/>
      <c r="CD194" s="36"/>
      <c r="CE194" s="36"/>
      <c r="CF194" s="61"/>
      <c r="CG194" s="183"/>
      <c r="CH194" s="184"/>
      <c r="CI194" s="36"/>
      <c r="CJ194" s="36"/>
      <c r="CK194" s="36"/>
      <c r="CL194" s="36"/>
      <c r="CM194" s="36"/>
      <c r="CN194" s="36"/>
      <c r="CO194" s="36"/>
      <c r="CP194" s="36"/>
      <c r="CQ194" s="61"/>
      <c r="CR194" s="41"/>
      <c r="CS194" s="66"/>
      <c r="CT194" s="66"/>
      <c r="CU194" s="66"/>
      <c r="CV194" s="66"/>
      <c r="CW194" s="6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61"/>
      <c r="DL194" s="56"/>
      <c r="DM194" s="57"/>
      <c r="DN194" s="41"/>
      <c r="DO194" s="56"/>
      <c r="DP194" s="57"/>
      <c r="DQ194" s="57"/>
      <c r="DR194" s="41"/>
      <c r="DS194" s="41"/>
      <c r="DT194" s="41"/>
      <c r="DU194" s="41"/>
    </row>
    <row r="195" spans="1:125" s="48" customFormat="1" ht="16.5" customHeight="1" x14ac:dyDescent="0.3">
      <c r="A195" s="76"/>
      <c r="B195" s="74"/>
      <c r="C195" s="36"/>
      <c r="D195" s="36"/>
      <c r="E195" s="36"/>
      <c r="F195" s="36"/>
      <c r="G195" s="36"/>
      <c r="H195" s="36"/>
      <c r="I195" s="36"/>
      <c r="J195" s="36"/>
      <c r="K195" s="37"/>
      <c r="L195" s="37"/>
      <c r="M195" s="36"/>
      <c r="N195" s="36"/>
      <c r="O195" s="36"/>
      <c r="P195" s="37"/>
      <c r="Q195" s="36"/>
      <c r="R195" s="36"/>
      <c r="S195" s="39"/>
      <c r="T195" s="39"/>
      <c r="U195" s="41"/>
      <c r="V195" s="41"/>
      <c r="W195" s="41"/>
      <c r="X195" s="41"/>
      <c r="Y195" s="41"/>
      <c r="Z195" s="36"/>
      <c r="AA195" s="36"/>
      <c r="AB195" s="36"/>
      <c r="AC195" s="42"/>
      <c r="AD195" s="40"/>
      <c r="AE195" s="41"/>
      <c r="AF195" s="41"/>
      <c r="AG195" s="41"/>
      <c r="AH195" s="41"/>
      <c r="AI195" s="41"/>
      <c r="AJ195" s="36"/>
      <c r="AK195" s="36"/>
      <c r="AL195" s="36"/>
      <c r="AM195" s="42"/>
      <c r="AN195" s="43"/>
      <c r="AO195" s="44"/>
      <c r="AP195" s="41"/>
      <c r="AQ195" s="41"/>
      <c r="AR195" s="41"/>
      <c r="AS195" s="41"/>
      <c r="AT195" s="41"/>
      <c r="AU195" s="41"/>
      <c r="AV195" s="41"/>
      <c r="AW195" s="41"/>
      <c r="AX195" s="36"/>
      <c r="AY195" s="36"/>
      <c r="AZ195" s="36"/>
      <c r="BA195" s="36"/>
      <c r="BB195" s="36"/>
      <c r="BC195" s="36"/>
      <c r="BD195" s="36"/>
      <c r="BE195" s="41"/>
      <c r="BF195" s="41"/>
      <c r="BG195" s="41"/>
      <c r="BH195" s="41"/>
      <c r="BI195" s="42"/>
      <c r="BJ195" s="36"/>
      <c r="BK195" s="36"/>
      <c r="BL195" s="63"/>
      <c r="BM195" s="41"/>
      <c r="BN195" s="4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73"/>
      <c r="CB195" s="36"/>
      <c r="CC195" s="36"/>
      <c r="CD195" s="36"/>
      <c r="CE195" s="36"/>
      <c r="CF195" s="61"/>
      <c r="CG195" s="183"/>
      <c r="CH195" s="184"/>
      <c r="CI195" s="36"/>
      <c r="CJ195" s="36"/>
      <c r="CK195" s="36"/>
      <c r="CL195" s="36"/>
      <c r="CM195" s="36"/>
      <c r="CN195" s="36"/>
      <c r="CO195" s="36"/>
      <c r="CP195" s="36"/>
      <c r="CQ195" s="61"/>
      <c r="CR195" s="41"/>
      <c r="CS195" s="66"/>
      <c r="CT195" s="66"/>
      <c r="CU195" s="66"/>
      <c r="CV195" s="66"/>
      <c r="CW195" s="6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61"/>
      <c r="DL195" s="56"/>
      <c r="DM195" s="57"/>
      <c r="DN195" s="41"/>
      <c r="DO195" s="56"/>
      <c r="DP195" s="57"/>
      <c r="DQ195" s="57"/>
      <c r="DR195" s="41"/>
      <c r="DS195" s="41"/>
      <c r="DT195" s="41"/>
      <c r="DU195" s="41"/>
    </row>
    <row r="196" spans="1:125" s="48" customFormat="1" ht="16.5" customHeight="1" x14ac:dyDescent="0.3">
      <c r="A196" s="76"/>
      <c r="B196" s="74"/>
      <c r="C196" s="36"/>
      <c r="D196" s="36"/>
      <c r="E196" s="36"/>
      <c r="F196" s="36"/>
      <c r="G196" s="36"/>
      <c r="H196" s="36"/>
      <c r="I196" s="36"/>
      <c r="J196" s="36"/>
      <c r="K196" s="37"/>
      <c r="L196" s="37"/>
      <c r="M196" s="36"/>
      <c r="N196" s="36"/>
      <c r="O196" s="36"/>
      <c r="P196" s="37"/>
      <c r="Q196" s="36"/>
      <c r="R196" s="36"/>
      <c r="S196" s="39"/>
      <c r="T196" s="39"/>
      <c r="U196" s="41"/>
      <c r="V196" s="41"/>
      <c r="W196" s="41"/>
      <c r="X196" s="41"/>
      <c r="Y196" s="41"/>
      <c r="Z196" s="36"/>
      <c r="AA196" s="36"/>
      <c r="AB196" s="36"/>
      <c r="AC196" s="42"/>
      <c r="AD196" s="40"/>
      <c r="AE196" s="41"/>
      <c r="AF196" s="41"/>
      <c r="AG196" s="41"/>
      <c r="AH196" s="41"/>
      <c r="AI196" s="41"/>
      <c r="AJ196" s="36"/>
      <c r="AK196" s="36"/>
      <c r="AL196" s="36"/>
      <c r="AM196" s="42"/>
      <c r="AN196" s="43"/>
      <c r="AO196" s="44"/>
      <c r="AP196" s="41"/>
      <c r="AQ196" s="41"/>
      <c r="AR196" s="41"/>
      <c r="AS196" s="41"/>
      <c r="AT196" s="41"/>
      <c r="AU196" s="41"/>
      <c r="AV196" s="41"/>
      <c r="AW196" s="41"/>
      <c r="AX196" s="36"/>
      <c r="AY196" s="36"/>
      <c r="AZ196" s="36"/>
      <c r="BA196" s="36"/>
      <c r="BB196" s="36"/>
      <c r="BC196" s="36"/>
      <c r="BD196" s="36"/>
      <c r="BE196" s="41"/>
      <c r="BF196" s="41"/>
      <c r="BG196" s="41"/>
      <c r="BH196" s="41"/>
      <c r="BI196" s="42"/>
      <c r="BJ196" s="36"/>
      <c r="BK196" s="36"/>
      <c r="BL196" s="63"/>
      <c r="BM196" s="41"/>
      <c r="BN196" s="4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73"/>
      <c r="CB196" s="36"/>
      <c r="CC196" s="36"/>
      <c r="CD196" s="36"/>
      <c r="CE196" s="36"/>
      <c r="CF196" s="61"/>
      <c r="CG196" s="183"/>
      <c r="CH196" s="184"/>
      <c r="CI196" s="36"/>
      <c r="CJ196" s="36"/>
      <c r="CK196" s="36"/>
      <c r="CL196" s="36"/>
      <c r="CM196" s="36"/>
      <c r="CN196" s="36"/>
      <c r="CO196" s="36"/>
      <c r="CP196" s="36"/>
      <c r="CQ196" s="61"/>
      <c r="CR196" s="41"/>
      <c r="CS196" s="66"/>
      <c r="CT196" s="66"/>
      <c r="CU196" s="66"/>
      <c r="CV196" s="66"/>
      <c r="CW196" s="6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61"/>
      <c r="DL196" s="56"/>
      <c r="DM196" s="57"/>
      <c r="DN196" s="41"/>
      <c r="DO196" s="56"/>
      <c r="DP196" s="57"/>
      <c r="DQ196" s="57"/>
      <c r="DR196" s="41"/>
      <c r="DS196" s="41"/>
      <c r="DT196" s="41"/>
      <c r="DU196" s="41"/>
    </row>
    <row r="197" spans="1:125" s="48" customFormat="1" ht="16.5" customHeight="1" x14ac:dyDescent="0.3">
      <c r="A197" s="76"/>
      <c r="B197" s="74"/>
      <c r="C197" s="36"/>
      <c r="D197" s="36"/>
      <c r="E197" s="36"/>
      <c r="F197" s="36"/>
      <c r="G197" s="36"/>
      <c r="H197" s="36"/>
      <c r="I197" s="36"/>
      <c r="J197" s="36"/>
      <c r="K197" s="37"/>
      <c r="L197" s="37"/>
      <c r="M197" s="36"/>
      <c r="N197" s="36"/>
      <c r="O197" s="36"/>
      <c r="P197" s="37"/>
      <c r="Q197" s="36"/>
      <c r="R197" s="36"/>
      <c r="S197" s="39"/>
      <c r="T197" s="39"/>
      <c r="U197" s="41"/>
      <c r="V197" s="41"/>
      <c r="W197" s="41"/>
      <c r="X197" s="41"/>
      <c r="Y197" s="41"/>
      <c r="Z197" s="36"/>
      <c r="AA197" s="36"/>
      <c r="AB197" s="36"/>
      <c r="AC197" s="42"/>
      <c r="AD197" s="40"/>
      <c r="AE197" s="41"/>
      <c r="AF197" s="41"/>
      <c r="AG197" s="41"/>
      <c r="AH197" s="41"/>
      <c r="AI197" s="41"/>
      <c r="AJ197" s="36"/>
      <c r="AK197" s="36"/>
      <c r="AL197" s="36"/>
      <c r="AM197" s="42"/>
      <c r="AN197" s="43"/>
      <c r="AO197" s="44"/>
      <c r="AP197" s="41"/>
      <c r="AQ197" s="41"/>
      <c r="AR197" s="41"/>
      <c r="AS197" s="41"/>
      <c r="AT197" s="41"/>
      <c r="AU197" s="41"/>
      <c r="AV197" s="41"/>
      <c r="AW197" s="41"/>
      <c r="AX197" s="36"/>
      <c r="AY197" s="36"/>
      <c r="AZ197" s="36"/>
      <c r="BA197" s="36"/>
      <c r="BB197" s="36"/>
      <c r="BC197" s="36"/>
      <c r="BD197" s="36"/>
      <c r="BE197" s="41"/>
      <c r="BF197" s="41"/>
      <c r="BG197" s="41"/>
      <c r="BH197" s="41"/>
      <c r="BI197" s="42"/>
      <c r="BJ197" s="36"/>
      <c r="BK197" s="36"/>
      <c r="BL197" s="63"/>
      <c r="BM197" s="41"/>
      <c r="BN197" s="4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73"/>
      <c r="CB197" s="36"/>
      <c r="CC197" s="36"/>
      <c r="CD197" s="36"/>
      <c r="CE197" s="36"/>
      <c r="CF197" s="61"/>
      <c r="CG197" s="183"/>
      <c r="CH197" s="184"/>
      <c r="CI197" s="36"/>
      <c r="CJ197" s="36"/>
      <c r="CK197" s="36"/>
      <c r="CL197" s="36"/>
      <c r="CM197" s="36"/>
      <c r="CN197" s="36"/>
      <c r="CO197" s="36"/>
      <c r="CP197" s="36"/>
      <c r="CQ197" s="61"/>
      <c r="CR197" s="41"/>
      <c r="CS197" s="66"/>
      <c r="CT197" s="66"/>
      <c r="CU197" s="66"/>
      <c r="CV197" s="66"/>
      <c r="CW197" s="6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61"/>
      <c r="DL197" s="56"/>
      <c r="DM197" s="57"/>
      <c r="DN197" s="41"/>
      <c r="DO197" s="56"/>
      <c r="DP197" s="57"/>
      <c r="DQ197" s="57"/>
      <c r="DR197" s="41"/>
      <c r="DS197" s="41"/>
      <c r="DT197" s="41"/>
      <c r="DU197" s="41"/>
    </row>
    <row r="198" spans="1:125" s="48" customFormat="1" ht="16.5" customHeight="1" x14ac:dyDescent="0.3">
      <c r="A198" s="76"/>
      <c r="B198" s="74"/>
      <c r="C198" s="36"/>
      <c r="D198" s="36"/>
      <c r="E198" s="36"/>
      <c r="F198" s="36"/>
      <c r="G198" s="36"/>
      <c r="H198" s="36"/>
      <c r="I198" s="36"/>
      <c r="J198" s="36"/>
      <c r="K198" s="37"/>
      <c r="L198" s="37"/>
      <c r="M198" s="36"/>
      <c r="N198" s="36"/>
      <c r="O198" s="36"/>
      <c r="P198" s="37"/>
      <c r="Q198" s="36"/>
      <c r="R198" s="36"/>
      <c r="S198" s="39"/>
      <c r="T198" s="39"/>
      <c r="U198" s="41"/>
      <c r="V198" s="41"/>
      <c r="W198" s="41"/>
      <c r="X198" s="41"/>
      <c r="Y198" s="41"/>
      <c r="Z198" s="36"/>
      <c r="AA198" s="36"/>
      <c r="AB198" s="36"/>
      <c r="AC198" s="42"/>
      <c r="AD198" s="40"/>
      <c r="AE198" s="41"/>
      <c r="AF198" s="41"/>
      <c r="AG198" s="41"/>
      <c r="AH198" s="41"/>
      <c r="AI198" s="41"/>
      <c r="AJ198" s="36"/>
      <c r="AK198" s="36"/>
      <c r="AL198" s="36"/>
      <c r="AM198" s="42"/>
      <c r="AN198" s="43"/>
      <c r="AO198" s="44"/>
      <c r="AP198" s="41"/>
      <c r="AQ198" s="41"/>
      <c r="AR198" s="41"/>
      <c r="AS198" s="41"/>
      <c r="AT198" s="41"/>
      <c r="AU198" s="41"/>
      <c r="AV198" s="104"/>
      <c r="AW198" s="41"/>
      <c r="AX198" s="36"/>
      <c r="AY198" s="36"/>
      <c r="AZ198" s="36"/>
      <c r="BA198" s="36"/>
      <c r="BB198" s="36"/>
      <c r="BC198" s="36"/>
      <c r="BD198" s="36"/>
      <c r="BE198" s="41"/>
      <c r="BF198" s="41"/>
      <c r="BG198" s="41"/>
      <c r="BH198" s="41"/>
      <c r="BI198" s="42"/>
      <c r="BJ198" s="36"/>
      <c r="BK198" s="36"/>
      <c r="BL198" s="63"/>
      <c r="BM198" s="41"/>
      <c r="BN198" s="4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73"/>
      <c r="CB198" s="36"/>
      <c r="CC198" s="36"/>
      <c r="CD198" s="36"/>
      <c r="CE198" s="36"/>
      <c r="CF198" s="61"/>
      <c r="CG198" s="183"/>
      <c r="CH198" s="184"/>
      <c r="CI198" s="36"/>
      <c r="CJ198" s="36"/>
      <c r="CK198" s="36"/>
      <c r="CL198" s="36"/>
      <c r="CM198" s="36"/>
      <c r="CN198" s="36"/>
      <c r="CO198" s="36"/>
      <c r="CP198" s="36"/>
      <c r="CQ198" s="61"/>
      <c r="CR198" s="41"/>
      <c r="CS198" s="66"/>
      <c r="CT198" s="66"/>
      <c r="CU198" s="66"/>
      <c r="CV198" s="66"/>
      <c r="CW198" s="6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61"/>
      <c r="DL198" s="56"/>
      <c r="DM198" s="57"/>
      <c r="DN198" s="41"/>
      <c r="DO198" s="56"/>
      <c r="DP198" s="57"/>
      <c r="DQ198" s="57"/>
      <c r="DR198" s="41"/>
      <c r="DS198" s="41"/>
      <c r="DT198" s="41"/>
      <c r="DU198" s="41"/>
    </row>
    <row r="199" spans="1:125" s="48" customFormat="1" ht="16.5" customHeight="1" x14ac:dyDescent="0.3">
      <c r="A199" s="76"/>
      <c r="B199" s="74"/>
      <c r="C199" s="36"/>
      <c r="D199" s="36"/>
      <c r="E199" s="36"/>
      <c r="F199" s="36"/>
      <c r="G199" s="36"/>
      <c r="H199" s="36"/>
      <c r="I199" s="36"/>
      <c r="J199" s="36"/>
      <c r="K199" s="37"/>
      <c r="L199" s="37"/>
      <c r="M199" s="36"/>
      <c r="N199" s="36"/>
      <c r="O199" s="36"/>
      <c r="P199" s="37"/>
      <c r="Q199" s="36"/>
      <c r="R199" s="36"/>
      <c r="S199" s="39"/>
      <c r="T199" s="39"/>
      <c r="U199" s="41"/>
      <c r="V199" s="41"/>
      <c r="W199" s="41"/>
      <c r="X199" s="41"/>
      <c r="Y199" s="41"/>
      <c r="Z199" s="36"/>
      <c r="AA199" s="36"/>
      <c r="AB199" s="36"/>
      <c r="AC199" s="42"/>
      <c r="AD199" s="40"/>
      <c r="AE199" s="41"/>
      <c r="AF199" s="41"/>
      <c r="AG199" s="41"/>
      <c r="AH199" s="41"/>
      <c r="AI199" s="41"/>
      <c r="AJ199" s="36"/>
      <c r="AK199" s="36"/>
      <c r="AL199" s="36"/>
      <c r="AM199" s="42"/>
      <c r="AN199" s="43"/>
      <c r="AO199" s="105"/>
      <c r="AP199" s="72"/>
      <c r="AQ199" s="72"/>
      <c r="AR199" s="72"/>
      <c r="AS199" s="72"/>
      <c r="AT199" s="72"/>
      <c r="AU199" s="72"/>
      <c r="AV199" s="104"/>
      <c r="AW199" s="41"/>
      <c r="AX199" s="36"/>
      <c r="AY199" s="36"/>
      <c r="AZ199" s="36"/>
      <c r="BA199" s="36"/>
      <c r="BB199" s="36"/>
      <c r="BC199" s="36"/>
      <c r="BD199" s="36"/>
      <c r="BE199" s="41"/>
      <c r="BF199" s="41"/>
      <c r="BG199" s="41"/>
      <c r="BH199" s="41"/>
      <c r="BI199" s="42"/>
      <c r="BJ199" s="36"/>
      <c r="BK199" s="36"/>
      <c r="BL199" s="63"/>
      <c r="BM199" s="41"/>
      <c r="BN199" s="4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73"/>
      <c r="CB199" s="36"/>
      <c r="CC199" s="36"/>
      <c r="CD199" s="36"/>
      <c r="CE199" s="36"/>
      <c r="CF199" s="61"/>
      <c r="CG199" s="183"/>
      <c r="CH199" s="184"/>
      <c r="CI199" s="36"/>
      <c r="CJ199" s="36"/>
      <c r="CK199" s="36"/>
      <c r="CL199" s="36"/>
      <c r="CM199" s="36"/>
      <c r="CN199" s="36"/>
      <c r="CO199" s="36"/>
      <c r="CP199" s="36"/>
      <c r="CQ199" s="61"/>
      <c r="CR199" s="41"/>
      <c r="CS199" s="66"/>
      <c r="CT199" s="66"/>
      <c r="CU199" s="66"/>
      <c r="CV199" s="66"/>
      <c r="CW199" s="6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61"/>
      <c r="DL199" s="56"/>
      <c r="DM199" s="57"/>
      <c r="DN199" s="41"/>
      <c r="DO199" s="56"/>
      <c r="DP199" s="57"/>
      <c r="DQ199" s="57"/>
      <c r="DR199" s="41"/>
      <c r="DS199" s="41"/>
      <c r="DT199" s="41"/>
      <c r="DU199" s="41"/>
    </row>
    <row r="200" spans="1:125" s="48" customFormat="1" ht="16.5" customHeight="1" x14ac:dyDescent="0.3">
      <c r="A200" s="76"/>
      <c r="B200" s="74"/>
      <c r="C200" s="36"/>
      <c r="D200" s="36"/>
      <c r="E200" s="36"/>
      <c r="F200" s="36"/>
      <c r="G200" s="36"/>
      <c r="H200" s="36"/>
      <c r="I200" s="36"/>
      <c r="J200" s="36"/>
      <c r="K200" s="37"/>
      <c r="L200" s="37"/>
      <c r="M200" s="36"/>
      <c r="N200" s="36"/>
      <c r="O200" s="36"/>
      <c r="P200" s="37"/>
      <c r="Q200" s="36"/>
      <c r="R200" s="36"/>
      <c r="S200" s="39"/>
      <c r="T200" s="39"/>
      <c r="U200" s="41"/>
      <c r="V200" s="41"/>
      <c r="W200" s="41"/>
      <c r="X200" s="41"/>
      <c r="Y200" s="41"/>
      <c r="Z200" s="36"/>
      <c r="AA200" s="36"/>
      <c r="AB200" s="36"/>
      <c r="AC200" s="42"/>
      <c r="AD200" s="40"/>
      <c r="AE200" s="41"/>
      <c r="AF200" s="41"/>
      <c r="AG200" s="41"/>
      <c r="AH200" s="41"/>
      <c r="AI200" s="41"/>
      <c r="AJ200" s="36"/>
      <c r="AK200" s="36"/>
      <c r="AL200" s="36"/>
      <c r="AM200" s="42"/>
      <c r="AN200" s="43"/>
      <c r="AO200" s="44"/>
      <c r="AP200" s="41"/>
      <c r="AQ200" s="41"/>
      <c r="AR200" s="41"/>
      <c r="AS200" s="41"/>
      <c r="AT200" s="41"/>
      <c r="AU200" s="41"/>
      <c r="AV200" s="41"/>
      <c r="AW200" s="41"/>
      <c r="AX200" s="36"/>
      <c r="AY200" s="36"/>
      <c r="AZ200" s="36"/>
      <c r="BA200" s="36"/>
      <c r="BB200" s="36"/>
      <c r="BC200" s="36"/>
      <c r="BD200" s="36"/>
      <c r="BE200" s="41"/>
      <c r="BF200" s="41"/>
      <c r="BG200" s="41"/>
      <c r="BH200" s="41"/>
      <c r="BI200" s="42"/>
      <c r="BJ200" s="36"/>
      <c r="BK200" s="36"/>
      <c r="BL200" s="63"/>
      <c r="BM200" s="41"/>
      <c r="BN200" s="4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73"/>
      <c r="CB200" s="36"/>
      <c r="CC200" s="36"/>
      <c r="CD200" s="36"/>
      <c r="CE200" s="36"/>
      <c r="CF200" s="61"/>
      <c r="CG200" s="183"/>
      <c r="CH200" s="184"/>
      <c r="CI200" s="36"/>
      <c r="CJ200" s="36"/>
      <c r="CK200" s="36"/>
      <c r="CL200" s="36"/>
      <c r="CM200" s="36"/>
      <c r="CN200" s="36"/>
      <c r="CO200" s="36"/>
      <c r="CP200" s="36"/>
      <c r="CQ200" s="61"/>
      <c r="CR200" s="41"/>
      <c r="CS200" s="66"/>
      <c r="CT200" s="66"/>
      <c r="CU200" s="66"/>
      <c r="CV200" s="66"/>
      <c r="CW200" s="6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61"/>
      <c r="DL200" s="56"/>
      <c r="DM200" s="57"/>
      <c r="DN200" s="41"/>
      <c r="DO200" s="56"/>
      <c r="DP200" s="57"/>
      <c r="DQ200" s="57"/>
      <c r="DR200" s="41"/>
      <c r="DS200" s="41"/>
      <c r="DT200" s="41"/>
      <c r="DU200" s="41"/>
    </row>
    <row r="201" spans="1:125" s="48" customFormat="1" ht="16.5" customHeight="1" x14ac:dyDescent="0.3">
      <c r="A201" s="76"/>
      <c r="B201" s="74"/>
      <c r="C201" s="36"/>
      <c r="D201" s="36"/>
      <c r="E201" s="36"/>
      <c r="F201" s="36"/>
      <c r="G201" s="36"/>
      <c r="H201" s="36"/>
      <c r="I201" s="36"/>
      <c r="J201" s="36"/>
      <c r="K201" s="37"/>
      <c r="L201" s="37"/>
      <c r="M201" s="36"/>
      <c r="N201" s="36"/>
      <c r="O201" s="36"/>
      <c r="P201" s="37"/>
      <c r="Q201" s="36"/>
      <c r="R201" s="36"/>
      <c r="S201" s="39"/>
      <c r="T201" s="39"/>
      <c r="U201" s="41"/>
      <c r="V201" s="41"/>
      <c r="W201" s="41"/>
      <c r="X201" s="41"/>
      <c r="Y201" s="41"/>
      <c r="Z201" s="36"/>
      <c r="AA201" s="36"/>
      <c r="AB201" s="36"/>
      <c r="AC201" s="42"/>
      <c r="AD201" s="40"/>
      <c r="AE201" s="41"/>
      <c r="AF201" s="41"/>
      <c r="AG201" s="41"/>
      <c r="AH201" s="41"/>
      <c r="AI201" s="41"/>
      <c r="AJ201" s="36"/>
      <c r="AK201" s="36"/>
      <c r="AL201" s="36"/>
      <c r="AM201" s="42"/>
      <c r="AN201" s="43"/>
      <c r="AO201" s="44"/>
      <c r="AP201" s="41"/>
      <c r="AQ201" s="41"/>
      <c r="AR201" s="41"/>
      <c r="AS201" s="41"/>
      <c r="AT201" s="41"/>
      <c r="AU201" s="41"/>
      <c r="AV201" s="41"/>
      <c r="AW201" s="41"/>
      <c r="AX201" s="36"/>
      <c r="AY201" s="36"/>
      <c r="AZ201" s="36"/>
      <c r="BA201" s="36"/>
      <c r="BB201" s="36"/>
      <c r="BC201" s="36"/>
      <c r="BD201" s="36"/>
      <c r="BE201" s="41"/>
      <c r="BF201" s="41"/>
      <c r="BG201" s="41"/>
      <c r="BH201" s="41"/>
      <c r="BI201" s="42"/>
      <c r="BJ201" s="36"/>
      <c r="BK201" s="36"/>
      <c r="BL201" s="63"/>
      <c r="BM201" s="41"/>
      <c r="BN201" s="4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73"/>
      <c r="CB201" s="36"/>
      <c r="CC201" s="36"/>
      <c r="CD201" s="36"/>
      <c r="CE201" s="36"/>
      <c r="CF201" s="61"/>
      <c r="CG201" s="183"/>
      <c r="CH201" s="184"/>
      <c r="CI201" s="36"/>
      <c r="CJ201" s="36"/>
      <c r="CK201" s="36"/>
      <c r="CL201" s="36"/>
      <c r="CM201" s="36"/>
      <c r="CN201" s="36"/>
      <c r="CO201" s="36"/>
      <c r="CP201" s="36"/>
      <c r="CQ201" s="61"/>
      <c r="CR201" s="41"/>
      <c r="CS201" s="66"/>
      <c r="CT201" s="66"/>
      <c r="CU201" s="66"/>
      <c r="CV201" s="66"/>
      <c r="CW201" s="6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61"/>
      <c r="DL201" s="56"/>
      <c r="DM201" s="57"/>
      <c r="DN201" s="41"/>
      <c r="DO201" s="56"/>
      <c r="DP201" s="57"/>
      <c r="DQ201" s="57"/>
      <c r="DR201" s="41"/>
      <c r="DS201" s="41"/>
      <c r="DT201" s="41"/>
      <c r="DU201" s="41"/>
    </row>
    <row r="202" spans="1:125" s="48" customFormat="1" ht="16.5" customHeight="1" x14ac:dyDescent="0.3">
      <c r="A202" s="76"/>
      <c r="B202" s="74"/>
      <c r="C202" s="36"/>
      <c r="D202" s="36"/>
      <c r="E202" s="36"/>
      <c r="F202" s="36"/>
      <c r="G202" s="36"/>
      <c r="H202" s="36"/>
      <c r="I202" s="36"/>
      <c r="J202" s="36"/>
      <c r="K202" s="37"/>
      <c r="L202" s="37"/>
      <c r="M202" s="36"/>
      <c r="N202" s="36"/>
      <c r="O202" s="36"/>
      <c r="P202" s="37"/>
      <c r="Q202" s="36"/>
      <c r="R202" s="36"/>
      <c r="S202" s="39"/>
      <c r="T202" s="39"/>
      <c r="U202" s="41"/>
      <c r="V202" s="41"/>
      <c r="W202" s="41"/>
      <c r="X202" s="41"/>
      <c r="Y202" s="41"/>
      <c r="Z202" s="36"/>
      <c r="AA202" s="36"/>
      <c r="AB202" s="36"/>
      <c r="AC202" s="42"/>
      <c r="AD202" s="40"/>
      <c r="AE202" s="41"/>
      <c r="AF202" s="41"/>
      <c r="AG202" s="41"/>
      <c r="AH202" s="41"/>
      <c r="AI202" s="41"/>
      <c r="AJ202" s="36"/>
      <c r="AK202" s="36"/>
      <c r="AL202" s="36"/>
      <c r="AM202" s="42"/>
      <c r="AN202" s="43"/>
      <c r="AO202" s="44"/>
      <c r="AP202" s="41"/>
      <c r="AQ202" s="41"/>
      <c r="AR202" s="41"/>
      <c r="AS202" s="41"/>
      <c r="AT202" s="41"/>
      <c r="AU202" s="41"/>
      <c r="AV202" s="41"/>
      <c r="AW202" s="41"/>
      <c r="AX202" s="36"/>
      <c r="AY202" s="36"/>
      <c r="AZ202" s="36"/>
      <c r="BA202" s="36"/>
      <c r="BB202" s="36"/>
      <c r="BC202" s="36"/>
      <c r="BD202" s="36"/>
      <c r="BE202" s="41"/>
      <c r="BF202" s="41"/>
      <c r="BG202" s="41"/>
      <c r="BH202" s="41"/>
      <c r="BI202" s="42"/>
      <c r="BJ202" s="36"/>
      <c r="BK202" s="36"/>
      <c r="BL202" s="63"/>
      <c r="BM202" s="41"/>
      <c r="BN202" s="4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73"/>
      <c r="CB202" s="36"/>
      <c r="CC202" s="36"/>
      <c r="CD202" s="36"/>
      <c r="CE202" s="36"/>
      <c r="CF202" s="61"/>
      <c r="CG202" s="183"/>
      <c r="CH202" s="184"/>
      <c r="CI202" s="36"/>
      <c r="CJ202" s="36"/>
      <c r="CK202" s="36"/>
      <c r="CL202" s="36"/>
      <c r="CM202" s="36"/>
      <c r="CN202" s="36"/>
      <c r="CO202" s="36"/>
      <c r="CP202" s="36"/>
      <c r="CQ202" s="61"/>
      <c r="CR202" s="41"/>
      <c r="CS202" s="66"/>
      <c r="CT202" s="66"/>
      <c r="CU202" s="66"/>
      <c r="CV202" s="66"/>
      <c r="CW202" s="6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61"/>
      <c r="DL202" s="56"/>
      <c r="DM202" s="57"/>
      <c r="DN202" s="41"/>
      <c r="DO202" s="56"/>
      <c r="DP202" s="57"/>
      <c r="DQ202" s="57"/>
      <c r="DR202" s="41"/>
      <c r="DS202" s="41"/>
      <c r="DT202" s="41"/>
      <c r="DU202" s="41"/>
    </row>
    <row r="203" spans="1:125" s="48" customFormat="1" ht="16.5" customHeight="1" x14ac:dyDescent="0.3">
      <c r="A203" s="76"/>
      <c r="B203" s="74"/>
      <c r="C203" s="36"/>
      <c r="D203" s="36"/>
      <c r="E203" s="36"/>
      <c r="F203" s="36"/>
      <c r="G203" s="36"/>
      <c r="H203" s="36"/>
      <c r="I203" s="36"/>
      <c r="J203" s="36"/>
      <c r="K203" s="37"/>
      <c r="L203" s="37"/>
      <c r="M203" s="36"/>
      <c r="N203" s="36"/>
      <c r="O203" s="36"/>
      <c r="P203" s="37"/>
      <c r="Q203" s="36"/>
      <c r="R203" s="36"/>
      <c r="S203" s="39"/>
      <c r="T203" s="39"/>
      <c r="U203" s="41"/>
      <c r="V203" s="41"/>
      <c r="W203" s="41"/>
      <c r="X203" s="41"/>
      <c r="Y203" s="41"/>
      <c r="Z203" s="36"/>
      <c r="AA203" s="36"/>
      <c r="AB203" s="36"/>
      <c r="AC203" s="42"/>
      <c r="AD203" s="40"/>
      <c r="AE203" s="41"/>
      <c r="AF203" s="41"/>
      <c r="AG203" s="41"/>
      <c r="AH203" s="41"/>
      <c r="AI203" s="41"/>
      <c r="AJ203" s="36"/>
      <c r="AK203" s="36"/>
      <c r="AL203" s="36"/>
      <c r="AM203" s="42"/>
      <c r="AN203" s="43"/>
      <c r="AO203" s="44"/>
      <c r="AP203" s="41"/>
      <c r="AQ203" s="41"/>
      <c r="AR203" s="41"/>
      <c r="AS203" s="41"/>
      <c r="AT203" s="41"/>
      <c r="AU203" s="41"/>
      <c r="AV203" s="41"/>
      <c r="AW203" s="41"/>
      <c r="AX203" s="36"/>
      <c r="AY203" s="36"/>
      <c r="AZ203" s="36"/>
      <c r="BA203" s="36"/>
      <c r="BB203" s="36"/>
      <c r="BC203" s="36"/>
      <c r="BD203" s="36"/>
      <c r="BE203" s="41"/>
      <c r="BF203" s="41"/>
      <c r="BG203" s="41"/>
      <c r="BH203" s="41"/>
      <c r="BI203" s="42"/>
      <c r="BJ203" s="36"/>
      <c r="BK203" s="36"/>
      <c r="BL203" s="63"/>
      <c r="BM203" s="41"/>
      <c r="BN203" s="4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73"/>
      <c r="CB203" s="36"/>
      <c r="CC203" s="36"/>
      <c r="CD203" s="36"/>
      <c r="CE203" s="36"/>
      <c r="CF203" s="61"/>
      <c r="CG203" s="183"/>
      <c r="CH203" s="184"/>
      <c r="CI203" s="36"/>
      <c r="CJ203" s="36"/>
      <c r="CK203" s="36"/>
      <c r="CL203" s="36"/>
      <c r="CM203" s="36"/>
      <c r="CN203" s="36"/>
      <c r="CO203" s="36"/>
      <c r="CP203" s="36"/>
      <c r="CQ203" s="61"/>
      <c r="CR203" s="41"/>
      <c r="CS203" s="66"/>
      <c r="CT203" s="66"/>
      <c r="CU203" s="66"/>
      <c r="CV203" s="66"/>
      <c r="CW203" s="6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61"/>
      <c r="DL203" s="56"/>
      <c r="DM203" s="57"/>
      <c r="DN203" s="41"/>
      <c r="DO203" s="56"/>
      <c r="DP203" s="57"/>
      <c r="DQ203" s="57"/>
      <c r="DR203" s="41"/>
      <c r="DS203" s="41"/>
      <c r="DT203" s="41"/>
      <c r="DU203" s="41"/>
    </row>
    <row r="204" spans="1:125" s="48" customFormat="1" ht="16.5" customHeight="1" x14ac:dyDescent="0.3">
      <c r="A204" s="76"/>
      <c r="B204" s="74"/>
      <c r="C204" s="36"/>
      <c r="D204" s="36"/>
      <c r="E204" s="36"/>
      <c r="F204" s="36"/>
      <c r="G204" s="36"/>
      <c r="H204" s="36"/>
      <c r="I204" s="36"/>
      <c r="J204" s="36"/>
      <c r="K204" s="37"/>
      <c r="L204" s="37"/>
      <c r="M204" s="36"/>
      <c r="N204" s="36"/>
      <c r="O204" s="36"/>
      <c r="P204" s="37"/>
      <c r="Q204" s="36"/>
      <c r="R204" s="36"/>
      <c r="S204" s="39"/>
      <c r="T204" s="39"/>
      <c r="U204" s="41"/>
      <c r="V204" s="41"/>
      <c r="W204" s="41"/>
      <c r="X204" s="41"/>
      <c r="Y204" s="41"/>
      <c r="Z204" s="36"/>
      <c r="AA204" s="36"/>
      <c r="AB204" s="36"/>
      <c r="AC204" s="42"/>
      <c r="AD204" s="40"/>
      <c r="AE204" s="41"/>
      <c r="AF204" s="41"/>
      <c r="AG204" s="41"/>
      <c r="AH204" s="41"/>
      <c r="AI204" s="41"/>
      <c r="AJ204" s="36"/>
      <c r="AK204" s="36"/>
      <c r="AL204" s="36"/>
      <c r="AM204" s="42"/>
      <c r="AN204" s="43"/>
      <c r="AO204" s="44"/>
      <c r="AP204" s="41"/>
      <c r="AQ204" s="41"/>
      <c r="AR204" s="41"/>
      <c r="AS204" s="41"/>
      <c r="AT204" s="41"/>
      <c r="AU204" s="41"/>
      <c r="AV204" s="41"/>
      <c r="AW204" s="41"/>
      <c r="AX204" s="36"/>
      <c r="AY204" s="36"/>
      <c r="AZ204" s="36"/>
      <c r="BA204" s="36"/>
      <c r="BB204" s="36"/>
      <c r="BC204" s="36"/>
      <c r="BD204" s="36"/>
      <c r="BE204" s="41"/>
      <c r="BF204" s="41"/>
      <c r="BG204" s="41"/>
      <c r="BH204" s="41"/>
      <c r="BI204" s="42"/>
      <c r="BJ204" s="36"/>
      <c r="BK204" s="36"/>
      <c r="BL204" s="63"/>
      <c r="BM204" s="41"/>
      <c r="BN204" s="4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73"/>
      <c r="CB204" s="36"/>
      <c r="CC204" s="36"/>
      <c r="CD204" s="36"/>
      <c r="CE204" s="36"/>
      <c r="CF204" s="61"/>
      <c r="CG204" s="183"/>
      <c r="CH204" s="184"/>
      <c r="CI204" s="36"/>
      <c r="CJ204" s="36"/>
      <c r="CK204" s="36"/>
      <c r="CL204" s="36"/>
      <c r="CM204" s="36"/>
      <c r="CN204" s="36"/>
      <c r="CO204" s="36"/>
      <c r="CP204" s="36"/>
      <c r="CQ204" s="61"/>
      <c r="CR204" s="41"/>
      <c r="CS204" s="66"/>
      <c r="CT204" s="66"/>
      <c r="CU204" s="66"/>
      <c r="CV204" s="66"/>
      <c r="CW204" s="6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61"/>
      <c r="DL204" s="56"/>
      <c r="DM204" s="57"/>
      <c r="DN204" s="41"/>
      <c r="DO204" s="56"/>
      <c r="DP204" s="57"/>
      <c r="DQ204" s="57"/>
      <c r="DR204" s="41"/>
      <c r="DS204" s="41"/>
      <c r="DT204" s="41"/>
      <c r="DU204" s="41"/>
    </row>
    <row r="205" spans="1:125" s="48" customFormat="1" ht="16.5" customHeight="1" x14ac:dyDescent="0.3">
      <c r="A205" s="76"/>
      <c r="B205" s="74"/>
      <c r="C205" s="36"/>
      <c r="D205" s="36"/>
      <c r="E205" s="36"/>
      <c r="F205" s="36"/>
      <c r="G205" s="36"/>
      <c r="H205" s="36"/>
      <c r="I205" s="36"/>
      <c r="J205" s="36"/>
      <c r="K205" s="37"/>
      <c r="L205" s="37"/>
      <c r="M205" s="36"/>
      <c r="N205" s="36"/>
      <c r="O205" s="36"/>
      <c r="P205" s="37"/>
      <c r="Q205" s="36"/>
      <c r="R205" s="36"/>
      <c r="S205" s="39"/>
      <c r="T205" s="39"/>
      <c r="U205" s="41"/>
      <c r="V205" s="41"/>
      <c r="W205" s="41"/>
      <c r="X205" s="41"/>
      <c r="Y205" s="41"/>
      <c r="Z205" s="36"/>
      <c r="AA205" s="36"/>
      <c r="AB205" s="36"/>
      <c r="AC205" s="42"/>
      <c r="AD205" s="40"/>
      <c r="AE205" s="41"/>
      <c r="AF205" s="41"/>
      <c r="AG205" s="41"/>
      <c r="AH205" s="41"/>
      <c r="AI205" s="41"/>
      <c r="AJ205" s="36"/>
      <c r="AK205" s="36"/>
      <c r="AL205" s="36"/>
      <c r="AM205" s="42"/>
      <c r="AN205" s="43"/>
      <c r="AO205" s="44"/>
      <c r="AP205" s="41"/>
      <c r="AQ205" s="41"/>
      <c r="AR205" s="41"/>
      <c r="AS205" s="41"/>
      <c r="AT205" s="41"/>
      <c r="AU205" s="41"/>
      <c r="AV205" s="41"/>
      <c r="AW205" s="41"/>
      <c r="AX205" s="36"/>
      <c r="AY205" s="36"/>
      <c r="AZ205" s="36"/>
      <c r="BA205" s="36"/>
      <c r="BB205" s="36"/>
      <c r="BC205" s="36"/>
      <c r="BD205" s="36"/>
      <c r="BE205" s="41"/>
      <c r="BF205" s="41"/>
      <c r="BG205" s="41"/>
      <c r="BH205" s="41"/>
      <c r="BI205" s="42"/>
      <c r="BJ205" s="36"/>
      <c r="BK205" s="36"/>
      <c r="BL205" s="63"/>
      <c r="BM205" s="41"/>
      <c r="BN205" s="4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73"/>
      <c r="CB205" s="36"/>
      <c r="CC205" s="36"/>
      <c r="CD205" s="36"/>
      <c r="CE205" s="36"/>
      <c r="CF205" s="61"/>
      <c r="CG205" s="183"/>
      <c r="CH205" s="184"/>
      <c r="CI205" s="36"/>
      <c r="CJ205" s="36"/>
      <c r="CK205" s="36"/>
      <c r="CL205" s="36"/>
      <c r="CM205" s="36"/>
      <c r="CN205" s="36"/>
      <c r="CO205" s="36"/>
      <c r="CP205" s="36"/>
      <c r="CQ205" s="61"/>
      <c r="CR205" s="41"/>
      <c r="CS205" s="66"/>
      <c r="CT205" s="66"/>
      <c r="CU205" s="66"/>
      <c r="CV205" s="66"/>
      <c r="CW205" s="6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61"/>
      <c r="DL205" s="56"/>
      <c r="DM205" s="57"/>
      <c r="DN205" s="41"/>
      <c r="DO205" s="56"/>
      <c r="DP205" s="57"/>
      <c r="DQ205" s="57"/>
      <c r="DR205" s="41"/>
      <c r="DS205" s="41"/>
      <c r="DT205" s="41"/>
      <c r="DU205" s="41"/>
    </row>
    <row r="206" spans="1:125" s="48" customFormat="1" ht="16.5" customHeight="1" x14ac:dyDescent="0.3">
      <c r="A206" s="76"/>
      <c r="B206" s="74"/>
      <c r="C206" s="36"/>
      <c r="D206" s="36"/>
      <c r="E206" s="36"/>
      <c r="F206" s="36"/>
      <c r="G206" s="36"/>
      <c r="H206" s="36"/>
      <c r="I206" s="36"/>
      <c r="J206" s="36"/>
      <c r="K206" s="37"/>
      <c r="L206" s="37"/>
      <c r="M206" s="36"/>
      <c r="N206" s="36"/>
      <c r="O206" s="36"/>
      <c r="P206" s="37"/>
      <c r="Q206" s="36"/>
      <c r="R206" s="36"/>
      <c r="S206" s="39"/>
      <c r="T206" s="39"/>
      <c r="U206" s="41"/>
      <c r="V206" s="41"/>
      <c r="W206" s="41"/>
      <c r="X206" s="41"/>
      <c r="Y206" s="41"/>
      <c r="Z206" s="36"/>
      <c r="AA206" s="36"/>
      <c r="AB206" s="36"/>
      <c r="AC206" s="42"/>
      <c r="AD206" s="40"/>
      <c r="AE206" s="41"/>
      <c r="AF206" s="41"/>
      <c r="AG206" s="41"/>
      <c r="AH206" s="41"/>
      <c r="AI206" s="41"/>
      <c r="AJ206" s="36"/>
      <c r="AK206" s="36"/>
      <c r="AL206" s="36"/>
      <c r="AM206" s="42"/>
      <c r="AN206" s="43"/>
      <c r="AO206" s="44"/>
      <c r="AP206" s="41"/>
      <c r="AQ206" s="41"/>
      <c r="AR206" s="41"/>
      <c r="AS206" s="41"/>
      <c r="AT206" s="41"/>
      <c r="AU206" s="41"/>
      <c r="AV206" s="41"/>
      <c r="AW206" s="41"/>
      <c r="AX206" s="36"/>
      <c r="AY206" s="36"/>
      <c r="AZ206" s="36"/>
      <c r="BA206" s="36"/>
      <c r="BB206" s="36"/>
      <c r="BC206" s="36"/>
      <c r="BD206" s="36"/>
      <c r="BE206" s="41"/>
      <c r="BF206" s="41"/>
      <c r="BG206" s="41"/>
      <c r="BH206" s="41"/>
      <c r="BI206" s="42"/>
      <c r="BJ206" s="36"/>
      <c r="BK206" s="36"/>
      <c r="BL206" s="63"/>
      <c r="BM206" s="41"/>
      <c r="BN206" s="4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73"/>
      <c r="CB206" s="36"/>
      <c r="CC206" s="36"/>
      <c r="CD206" s="36"/>
      <c r="CE206" s="36"/>
      <c r="CF206" s="61"/>
      <c r="CG206" s="183"/>
      <c r="CH206" s="184"/>
      <c r="CI206" s="36"/>
      <c r="CJ206" s="36"/>
      <c r="CK206" s="36"/>
      <c r="CL206" s="36"/>
      <c r="CM206" s="36"/>
      <c r="CN206" s="36"/>
      <c r="CO206" s="36"/>
      <c r="CP206" s="36"/>
      <c r="CQ206" s="61"/>
      <c r="CR206" s="41"/>
      <c r="CS206" s="66"/>
      <c r="CT206" s="66"/>
      <c r="CU206" s="66"/>
      <c r="CV206" s="66"/>
      <c r="CW206" s="6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61"/>
      <c r="DL206" s="56"/>
      <c r="DM206" s="57"/>
      <c r="DN206" s="41"/>
      <c r="DO206" s="56"/>
      <c r="DP206" s="57"/>
      <c r="DQ206" s="57"/>
      <c r="DR206" s="41"/>
      <c r="DS206" s="41"/>
      <c r="DT206" s="41"/>
      <c r="DU206" s="41"/>
    </row>
    <row r="207" spans="1:125" s="48" customFormat="1" ht="16.5" customHeight="1" x14ac:dyDescent="0.3">
      <c r="A207" s="76"/>
      <c r="B207" s="74"/>
      <c r="C207" s="36"/>
      <c r="D207" s="36"/>
      <c r="E207" s="36"/>
      <c r="F207" s="36"/>
      <c r="G207" s="36"/>
      <c r="H207" s="36"/>
      <c r="I207" s="36"/>
      <c r="J207" s="36"/>
      <c r="K207" s="37"/>
      <c r="L207" s="37"/>
      <c r="M207" s="36"/>
      <c r="N207" s="36"/>
      <c r="O207" s="36"/>
      <c r="P207" s="37"/>
      <c r="Q207" s="36"/>
      <c r="R207" s="36"/>
      <c r="S207" s="39"/>
      <c r="T207" s="39"/>
      <c r="U207" s="41"/>
      <c r="V207" s="41"/>
      <c r="W207" s="41"/>
      <c r="X207" s="41"/>
      <c r="Y207" s="41"/>
      <c r="Z207" s="36"/>
      <c r="AA207" s="36"/>
      <c r="AB207" s="36"/>
      <c r="AC207" s="42"/>
      <c r="AD207" s="40"/>
      <c r="AE207" s="41"/>
      <c r="AF207" s="41"/>
      <c r="AG207" s="41"/>
      <c r="AH207" s="41"/>
      <c r="AI207" s="41"/>
      <c r="AJ207" s="36"/>
      <c r="AK207" s="36"/>
      <c r="AL207" s="36"/>
      <c r="AM207" s="42"/>
      <c r="AN207" s="43"/>
      <c r="AO207" s="44"/>
      <c r="AP207" s="41"/>
      <c r="AQ207" s="41"/>
      <c r="AR207" s="41"/>
      <c r="AS207" s="41"/>
      <c r="AT207" s="41"/>
      <c r="AU207" s="41"/>
      <c r="AV207" s="41"/>
      <c r="AW207" s="41"/>
      <c r="AX207" s="36"/>
      <c r="AY207" s="36"/>
      <c r="AZ207" s="36"/>
      <c r="BA207" s="36"/>
      <c r="BB207" s="36"/>
      <c r="BC207" s="36"/>
      <c r="BD207" s="36"/>
      <c r="BE207" s="41"/>
      <c r="BF207" s="41"/>
      <c r="BG207" s="41"/>
      <c r="BH207" s="41"/>
      <c r="BI207" s="42"/>
      <c r="BJ207" s="36"/>
      <c r="BK207" s="36"/>
      <c r="BL207" s="63"/>
      <c r="BM207" s="41"/>
      <c r="BN207" s="4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73"/>
      <c r="CB207" s="36"/>
      <c r="CC207" s="36"/>
      <c r="CD207" s="36"/>
      <c r="CE207" s="36"/>
      <c r="CF207" s="61"/>
      <c r="CG207" s="183"/>
      <c r="CH207" s="184"/>
      <c r="CI207" s="36"/>
      <c r="CJ207" s="36"/>
      <c r="CK207" s="36"/>
      <c r="CL207" s="36"/>
      <c r="CM207" s="36"/>
      <c r="CN207" s="36"/>
      <c r="CO207" s="36"/>
      <c r="CP207" s="36"/>
      <c r="CQ207" s="61"/>
      <c r="CR207" s="41"/>
      <c r="CS207" s="66"/>
      <c r="CT207" s="66"/>
      <c r="CU207" s="66"/>
      <c r="CV207" s="66"/>
      <c r="CW207" s="6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61"/>
      <c r="DL207" s="56"/>
      <c r="DM207" s="57"/>
      <c r="DN207" s="41"/>
      <c r="DO207" s="56"/>
      <c r="DP207" s="57"/>
      <c r="DQ207" s="57"/>
      <c r="DR207" s="41"/>
      <c r="DS207" s="41"/>
      <c r="DT207" s="41"/>
      <c r="DU207" s="41"/>
    </row>
    <row r="208" spans="1:125" s="48" customFormat="1" ht="16.5" customHeight="1" x14ac:dyDescent="0.3">
      <c r="A208" s="76"/>
      <c r="B208" s="74"/>
      <c r="C208" s="36"/>
      <c r="D208" s="36"/>
      <c r="E208" s="36"/>
      <c r="F208" s="36"/>
      <c r="G208" s="36"/>
      <c r="H208" s="36"/>
      <c r="I208" s="36"/>
      <c r="J208" s="36"/>
      <c r="K208" s="37"/>
      <c r="L208" s="37"/>
      <c r="M208" s="36"/>
      <c r="N208" s="36"/>
      <c r="O208" s="36"/>
      <c r="P208" s="37"/>
      <c r="Q208" s="36"/>
      <c r="R208" s="36"/>
      <c r="S208" s="39"/>
      <c r="T208" s="39"/>
      <c r="U208" s="41"/>
      <c r="V208" s="41"/>
      <c r="W208" s="41"/>
      <c r="X208" s="41"/>
      <c r="Y208" s="41"/>
      <c r="Z208" s="36"/>
      <c r="AA208" s="36"/>
      <c r="AB208" s="36"/>
      <c r="AC208" s="42"/>
      <c r="AD208" s="40"/>
      <c r="AE208" s="41"/>
      <c r="AF208" s="41"/>
      <c r="AG208" s="41"/>
      <c r="AH208" s="41"/>
      <c r="AI208" s="41"/>
      <c r="AJ208" s="36"/>
      <c r="AK208" s="36"/>
      <c r="AL208" s="36"/>
      <c r="AM208" s="42"/>
      <c r="AN208" s="43"/>
      <c r="AO208" s="44"/>
      <c r="AP208" s="41"/>
      <c r="AQ208" s="41"/>
      <c r="AR208" s="41"/>
      <c r="AS208" s="41"/>
      <c r="AT208" s="41"/>
      <c r="AU208" s="41"/>
      <c r="AV208" s="104"/>
      <c r="AW208" s="41"/>
      <c r="AX208" s="36"/>
      <c r="AY208" s="36"/>
      <c r="AZ208" s="36"/>
      <c r="BA208" s="36"/>
      <c r="BB208" s="36"/>
      <c r="BC208" s="36"/>
      <c r="BD208" s="36"/>
      <c r="BE208" s="41"/>
      <c r="BF208" s="41"/>
      <c r="BG208" s="41"/>
      <c r="BH208" s="41"/>
      <c r="BI208" s="42"/>
      <c r="BJ208" s="36"/>
      <c r="BK208" s="36"/>
      <c r="BL208" s="63"/>
      <c r="BM208" s="41"/>
      <c r="BN208" s="4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73"/>
      <c r="CB208" s="36"/>
      <c r="CC208" s="36"/>
      <c r="CD208" s="36"/>
      <c r="CE208" s="36"/>
      <c r="CF208" s="61"/>
      <c r="CG208" s="183"/>
      <c r="CH208" s="184"/>
      <c r="CI208" s="36"/>
      <c r="CJ208" s="36"/>
      <c r="CK208" s="36"/>
      <c r="CL208" s="36"/>
      <c r="CM208" s="36"/>
      <c r="CN208" s="36"/>
      <c r="CO208" s="36"/>
      <c r="CP208" s="36"/>
      <c r="CQ208" s="61"/>
      <c r="CR208" s="41"/>
      <c r="CS208" s="66"/>
      <c r="CT208" s="66"/>
      <c r="CU208" s="66"/>
      <c r="CV208" s="66"/>
      <c r="CW208" s="6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61"/>
      <c r="DL208" s="56"/>
      <c r="DM208" s="57"/>
      <c r="DN208" s="41"/>
      <c r="DO208" s="56"/>
      <c r="DP208" s="57"/>
      <c r="DQ208" s="57"/>
      <c r="DR208" s="41"/>
      <c r="DS208" s="41"/>
      <c r="DT208" s="41"/>
      <c r="DU208" s="41"/>
    </row>
    <row r="209" spans="1:125" s="48" customFormat="1" ht="16.5" customHeight="1" x14ac:dyDescent="0.3">
      <c r="A209" s="76"/>
      <c r="B209" s="74"/>
      <c r="C209" s="36"/>
      <c r="D209" s="36"/>
      <c r="E209" s="36"/>
      <c r="F209" s="36"/>
      <c r="G209" s="36"/>
      <c r="H209" s="36"/>
      <c r="I209" s="36"/>
      <c r="J209" s="36"/>
      <c r="K209" s="37"/>
      <c r="L209" s="37"/>
      <c r="M209" s="36"/>
      <c r="N209" s="36"/>
      <c r="O209" s="36"/>
      <c r="P209" s="37"/>
      <c r="Q209" s="36"/>
      <c r="R209" s="36"/>
      <c r="S209" s="39"/>
      <c r="T209" s="39"/>
      <c r="U209" s="41"/>
      <c r="V209" s="41"/>
      <c r="W209" s="41"/>
      <c r="X209" s="41"/>
      <c r="Y209" s="41"/>
      <c r="Z209" s="36"/>
      <c r="AA209" s="36"/>
      <c r="AB209" s="36"/>
      <c r="AC209" s="42"/>
      <c r="AD209" s="40"/>
      <c r="AE209" s="41"/>
      <c r="AF209" s="41"/>
      <c r="AG209" s="41"/>
      <c r="AH209" s="41"/>
      <c r="AI209" s="41"/>
      <c r="AJ209" s="36"/>
      <c r="AK209" s="36"/>
      <c r="AL209" s="36"/>
      <c r="AM209" s="42"/>
      <c r="AN209" s="43"/>
      <c r="AO209" s="44"/>
      <c r="AP209" s="41"/>
      <c r="AQ209" s="41"/>
      <c r="AR209" s="41"/>
      <c r="AS209" s="41"/>
      <c r="AT209" s="41"/>
      <c r="AU209" s="41"/>
      <c r="AV209" s="104"/>
      <c r="AW209" s="41"/>
      <c r="AX209" s="36"/>
      <c r="AY209" s="36"/>
      <c r="AZ209" s="36"/>
      <c r="BA209" s="36"/>
      <c r="BB209" s="36"/>
      <c r="BC209" s="36"/>
      <c r="BD209" s="36"/>
      <c r="BE209" s="41"/>
      <c r="BF209" s="41"/>
      <c r="BG209" s="41"/>
      <c r="BH209" s="41"/>
      <c r="BI209" s="42"/>
      <c r="BJ209" s="36"/>
      <c r="BK209" s="36"/>
      <c r="BL209" s="63"/>
      <c r="BM209" s="41"/>
      <c r="BN209" s="4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73"/>
      <c r="CB209" s="36"/>
      <c r="CC209" s="36"/>
      <c r="CD209" s="36"/>
      <c r="CE209" s="36"/>
      <c r="CF209" s="61"/>
      <c r="CG209" s="183"/>
      <c r="CH209" s="184"/>
      <c r="CI209" s="36"/>
      <c r="CJ209" s="36"/>
      <c r="CK209" s="36"/>
      <c r="CL209" s="36"/>
      <c r="CM209" s="36"/>
      <c r="CN209" s="36"/>
      <c r="CO209" s="36"/>
      <c r="CP209" s="36"/>
      <c r="CQ209" s="61"/>
      <c r="CR209" s="41"/>
      <c r="CS209" s="66"/>
      <c r="CT209" s="66"/>
      <c r="CU209" s="66"/>
      <c r="CV209" s="66"/>
      <c r="CW209" s="6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61"/>
      <c r="DL209" s="56"/>
      <c r="DM209" s="57"/>
      <c r="DN209" s="41"/>
      <c r="DO209" s="56"/>
      <c r="DP209" s="57"/>
      <c r="DQ209" s="57"/>
      <c r="DR209" s="41"/>
      <c r="DS209" s="41"/>
      <c r="DT209" s="41"/>
      <c r="DU209" s="41"/>
    </row>
    <row r="210" spans="1:125" s="48" customFormat="1" ht="16.5" customHeight="1" x14ac:dyDescent="0.3">
      <c r="A210" s="76"/>
      <c r="B210" s="74"/>
      <c r="C210" s="36"/>
      <c r="D210" s="36"/>
      <c r="E210" s="36"/>
      <c r="F210" s="36"/>
      <c r="G210" s="36"/>
      <c r="H210" s="36"/>
      <c r="I210" s="36"/>
      <c r="J210" s="36"/>
      <c r="K210" s="37"/>
      <c r="L210" s="37"/>
      <c r="M210" s="36"/>
      <c r="N210" s="36"/>
      <c r="O210" s="36"/>
      <c r="P210" s="37"/>
      <c r="Q210" s="36"/>
      <c r="R210" s="36"/>
      <c r="S210" s="39"/>
      <c r="T210" s="39"/>
      <c r="U210" s="41"/>
      <c r="V210" s="41"/>
      <c r="W210" s="41"/>
      <c r="X210" s="41"/>
      <c r="Y210" s="41"/>
      <c r="Z210" s="36"/>
      <c r="AA210" s="36"/>
      <c r="AB210" s="36"/>
      <c r="AC210" s="42"/>
      <c r="AD210" s="40"/>
      <c r="AE210" s="41"/>
      <c r="AF210" s="41"/>
      <c r="AG210" s="41"/>
      <c r="AH210" s="41"/>
      <c r="AI210" s="41"/>
      <c r="AJ210" s="36"/>
      <c r="AK210" s="36"/>
      <c r="AL210" s="36"/>
      <c r="AM210" s="42"/>
      <c r="AN210" s="43"/>
      <c r="AO210" s="44"/>
      <c r="AP210" s="41"/>
      <c r="AQ210" s="41"/>
      <c r="AR210" s="41"/>
      <c r="AS210" s="41"/>
      <c r="AT210" s="41"/>
      <c r="AU210" s="41"/>
      <c r="AV210" s="104"/>
      <c r="AW210" s="41"/>
      <c r="AX210" s="36"/>
      <c r="AY210" s="36"/>
      <c r="AZ210" s="36"/>
      <c r="BA210" s="36"/>
      <c r="BB210" s="36"/>
      <c r="BC210" s="36"/>
      <c r="BD210" s="36"/>
      <c r="BE210" s="41"/>
      <c r="BF210" s="41"/>
      <c r="BG210" s="41"/>
      <c r="BH210" s="41"/>
      <c r="BI210" s="42"/>
      <c r="BJ210" s="36"/>
      <c r="BK210" s="36"/>
      <c r="BL210" s="63"/>
      <c r="BM210" s="41"/>
      <c r="BN210" s="4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73"/>
      <c r="CB210" s="36"/>
      <c r="CC210" s="36"/>
      <c r="CD210" s="36"/>
      <c r="CE210" s="36"/>
      <c r="CF210" s="61"/>
      <c r="CG210" s="183"/>
      <c r="CH210" s="184"/>
      <c r="CI210" s="36"/>
      <c r="CJ210" s="36"/>
      <c r="CK210" s="36"/>
      <c r="CL210" s="36"/>
      <c r="CM210" s="36"/>
      <c r="CN210" s="36"/>
      <c r="CO210" s="36"/>
      <c r="CP210" s="36"/>
      <c r="CQ210" s="61"/>
      <c r="CR210" s="41"/>
      <c r="CS210" s="66"/>
      <c r="CT210" s="66"/>
      <c r="CU210" s="66"/>
      <c r="CV210" s="66"/>
      <c r="CW210" s="6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61"/>
      <c r="DL210" s="56"/>
      <c r="DM210" s="57"/>
      <c r="DN210" s="41"/>
      <c r="DO210" s="56"/>
      <c r="DP210" s="57"/>
      <c r="DQ210" s="57"/>
      <c r="DR210" s="41"/>
      <c r="DS210" s="41"/>
      <c r="DT210" s="41"/>
      <c r="DU210" s="41"/>
    </row>
    <row r="211" spans="1:125" s="48" customFormat="1" ht="16.5" customHeight="1" x14ac:dyDescent="0.3">
      <c r="A211" s="76"/>
      <c r="B211" s="74"/>
      <c r="C211" s="36"/>
      <c r="D211" s="36"/>
      <c r="E211" s="36"/>
      <c r="F211" s="36"/>
      <c r="G211" s="36"/>
      <c r="H211" s="36"/>
      <c r="I211" s="36"/>
      <c r="J211" s="36"/>
      <c r="K211" s="37"/>
      <c r="L211" s="37"/>
      <c r="M211" s="36"/>
      <c r="N211" s="36"/>
      <c r="O211" s="36"/>
      <c r="P211" s="37"/>
      <c r="Q211" s="36"/>
      <c r="R211" s="36"/>
      <c r="S211" s="39"/>
      <c r="T211" s="39"/>
      <c r="U211" s="41"/>
      <c r="V211" s="41"/>
      <c r="W211" s="41"/>
      <c r="X211" s="41"/>
      <c r="Y211" s="41"/>
      <c r="Z211" s="36"/>
      <c r="AA211" s="36"/>
      <c r="AB211" s="36"/>
      <c r="AC211" s="42"/>
      <c r="AD211" s="40"/>
      <c r="AE211" s="41"/>
      <c r="AF211" s="41"/>
      <c r="AG211" s="41"/>
      <c r="AH211" s="41"/>
      <c r="AI211" s="41"/>
      <c r="AJ211" s="36"/>
      <c r="AK211" s="36"/>
      <c r="AL211" s="36"/>
      <c r="AM211" s="42"/>
      <c r="AN211" s="43"/>
      <c r="AO211" s="44"/>
      <c r="AP211" s="41"/>
      <c r="AQ211" s="41"/>
      <c r="AR211" s="41"/>
      <c r="AS211" s="41"/>
      <c r="AT211" s="41"/>
      <c r="AU211" s="41"/>
      <c r="AV211" s="41"/>
      <c r="AW211" s="41"/>
      <c r="AX211" s="36"/>
      <c r="AY211" s="36"/>
      <c r="AZ211" s="36"/>
      <c r="BA211" s="36"/>
      <c r="BB211" s="36"/>
      <c r="BC211" s="36"/>
      <c r="BD211" s="36"/>
      <c r="BE211" s="41"/>
      <c r="BF211" s="41"/>
      <c r="BG211" s="41"/>
      <c r="BH211" s="41"/>
      <c r="BI211" s="42"/>
      <c r="BJ211" s="36"/>
      <c r="BK211" s="36"/>
      <c r="BL211" s="63"/>
      <c r="BM211" s="41"/>
      <c r="BN211" s="4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73"/>
      <c r="CB211" s="36"/>
      <c r="CC211" s="36"/>
      <c r="CD211" s="36"/>
      <c r="CE211" s="36"/>
      <c r="CF211" s="61"/>
      <c r="CG211" s="183"/>
      <c r="CH211" s="184"/>
      <c r="CI211" s="36"/>
      <c r="CJ211" s="36"/>
      <c r="CK211" s="36"/>
      <c r="CL211" s="36"/>
      <c r="CM211" s="36"/>
      <c r="CN211" s="36"/>
      <c r="CO211" s="36"/>
      <c r="CP211" s="36"/>
      <c r="CQ211" s="61"/>
      <c r="CR211" s="41"/>
      <c r="CS211" s="66"/>
      <c r="CT211" s="66"/>
      <c r="CU211" s="66"/>
      <c r="CV211" s="66"/>
      <c r="CW211" s="6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61"/>
      <c r="DL211" s="56"/>
      <c r="DM211" s="57"/>
      <c r="DN211" s="41"/>
      <c r="DO211" s="56"/>
      <c r="DP211" s="57"/>
      <c r="DQ211" s="57"/>
      <c r="DR211" s="41"/>
      <c r="DS211" s="41"/>
      <c r="DT211" s="41"/>
      <c r="DU211" s="41"/>
    </row>
    <row r="212" spans="1:125" s="48" customFormat="1" ht="16.5" customHeight="1" x14ac:dyDescent="0.3">
      <c r="A212" s="76"/>
      <c r="B212" s="74"/>
      <c r="C212" s="36"/>
      <c r="D212" s="36"/>
      <c r="E212" s="36"/>
      <c r="F212" s="36"/>
      <c r="G212" s="36"/>
      <c r="H212" s="36"/>
      <c r="I212" s="36"/>
      <c r="J212" s="36"/>
      <c r="K212" s="37"/>
      <c r="L212" s="37"/>
      <c r="M212" s="36"/>
      <c r="N212" s="36"/>
      <c r="O212" s="36"/>
      <c r="P212" s="37"/>
      <c r="Q212" s="36"/>
      <c r="R212" s="36"/>
      <c r="S212" s="39"/>
      <c r="T212" s="39"/>
      <c r="U212" s="41"/>
      <c r="V212" s="41"/>
      <c r="W212" s="41"/>
      <c r="X212" s="41"/>
      <c r="Y212" s="41"/>
      <c r="Z212" s="36"/>
      <c r="AA212" s="36"/>
      <c r="AB212" s="36"/>
      <c r="AC212" s="42"/>
      <c r="AD212" s="40"/>
      <c r="AE212" s="41"/>
      <c r="AF212" s="41"/>
      <c r="AG212" s="41"/>
      <c r="AH212" s="41"/>
      <c r="AI212" s="41"/>
      <c r="AJ212" s="36"/>
      <c r="AK212" s="36"/>
      <c r="AL212" s="36"/>
      <c r="AM212" s="42"/>
      <c r="AN212" s="43"/>
      <c r="AO212" s="44"/>
      <c r="AP212" s="41"/>
      <c r="AQ212" s="41"/>
      <c r="AR212" s="41"/>
      <c r="AS212" s="41"/>
      <c r="AT212" s="41"/>
      <c r="AU212" s="41"/>
      <c r="AV212" s="41"/>
      <c r="AW212" s="41"/>
      <c r="AX212" s="36"/>
      <c r="AY212" s="36"/>
      <c r="AZ212" s="36"/>
      <c r="BA212" s="36"/>
      <c r="BB212" s="36"/>
      <c r="BC212" s="36"/>
      <c r="BD212" s="36"/>
      <c r="BE212" s="41"/>
      <c r="BF212" s="41"/>
      <c r="BG212" s="41"/>
      <c r="BH212" s="41"/>
      <c r="BI212" s="42"/>
      <c r="BJ212" s="36"/>
      <c r="BK212" s="36"/>
      <c r="BL212" s="63"/>
      <c r="BM212" s="41"/>
      <c r="BN212" s="4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73"/>
      <c r="CB212" s="36"/>
      <c r="CC212" s="36"/>
      <c r="CD212" s="36"/>
      <c r="CE212" s="36"/>
      <c r="CF212" s="61"/>
      <c r="CG212" s="183"/>
      <c r="CH212" s="184"/>
      <c r="CI212" s="36"/>
      <c r="CJ212" s="36"/>
      <c r="CK212" s="36"/>
      <c r="CL212" s="36"/>
      <c r="CM212" s="36"/>
      <c r="CN212" s="36"/>
      <c r="CO212" s="36"/>
      <c r="CP212" s="36"/>
      <c r="CQ212" s="61"/>
      <c r="CR212" s="41"/>
      <c r="CS212" s="66"/>
      <c r="CT212" s="66"/>
      <c r="CU212" s="66"/>
      <c r="CV212" s="66"/>
      <c r="CW212" s="6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61"/>
      <c r="DL212" s="56"/>
      <c r="DM212" s="57"/>
      <c r="DN212" s="41"/>
      <c r="DO212" s="56"/>
      <c r="DP212" s="57"/>
      <c r="DQ212" s="57"/>
      <c r="DR212" s="41"/>
      <c r="DS212" s="41"/>
      <c r="DT212" s="41"/>
      <c r="DU212" s="41"/>
    </row>
    <row r="213" spans="1:125" s="48" customFormat="1" ht="16.5" customHeight="1" x14ac:dyDescent="0.3">
      <c r="A213" s="76"/>
      <c r="B213" s="74"/>
      <c r="C213" s="36"/>
      <c r="D213" s="36"/>
      <c r="E213" s="36"/>
      <c r="F213" s="36"/>
      <c r="G213" s="36"/>
      <c r="H213" s="36"/>
      <c r="I213" s="36"/>
      <c r="J213" s="36"/>
      <c r="K213" s="37"/>
      <c r="L213" s="37"/>
      <c r="M213" s="36"/>
      <c r="N213" s="36"/>
      <c r="O213" s="36"/>
      <c r="P213" s="37"/>
      <c r="Q213" s="36"/>
      <c r="R213" s="36"/>
      <c r="S213" s="39"/>
      <c r="T213" s="39"/>
      <c r="U213" s="41"/>
      <c r="V213" s="41"/>
      <c r="W213" s="41"/>
      <c r="X213" s="41"/>
      <c r="Y213" s="41"/>
      <c r="Z213" s="36"/>
      <c r="AA213" s="36"/>
      <c r="AB213" s="36"/>
      <c r="AC213" s="42"/>
      <c r="AD213" s="40"/>
      <c r="AE213" s="41"/>
      <c r="AF213" s="41"/>
      <c r="AG213" s="41"/>
      <c r="AH213" s="41"/>
      <c r="AI213" s="41"/>
      <c r="AJ213" s="36"/>
      <c r="AK213" s="36"/>
      <c r="AL213" s="36"/>
      <c r="AM213" s="42"/>
      <c r="AN213" s="43"/>
      <c r="AO213" s="44"/>
      <c r="AP213" s="41"/>
      <c r="AQ213" s="41"/>
      <c r="AR213" s="41"/>
      <c r="AS213" s="41"/>
      <c r="AT213" s="41"/>
      <c r="AU213" s="41"/>
      <c r="AV213" s="41"/>
      <c r="AW213" s="41"/>
      <c r="AX213" s="36"/>
      <c r="AY213" s="36"/>
      <c r="AZ213" s="36"/>
      <c r="BA213" s="36"/>
      <c r="BB213" s="36"/>
      <c r="BC213" s="36"/>
      <c r="BD213" s="36"/>
      <c r="BE213" s="41"/>
      <c r="BF213" s="41"/>
      <c r="BG213" s="41"/>
      <c r="BH213" s="41"/>
      <c r="BI213" s="42"/>
      <c r="BJ213" s="36"/>
      <c r="BK213" s="36"/>
      <c r="BL213" s="63"/>
      <c r="BM213" s="41"/>
      <c r="BN213" s="46"/>
      <c r="BO213" s="36"/>
      <c r="BP213" s="36"/>
      <c r="BQ213" s="36"/>
      <c r="BR213" s="61"/>
      <c r="BS213" s="41"/>
      <c r="BT213" s="41"/>
      <c r="BU213" s="41"/>
      <c r="BV213" s="41"/>
      <c r="BW213" s="41"/>
      <c r="BX213" s="41"/>
      <c r="BY213" s="36"/>
      <c r="BZ213" s="36"/>
      <c r="CA213" s="73"/>
      <c r="CB213" s="36"/>
      <c r="CC213" s="36"/>
      <c r="CD213" s="36"/>
      <c r="CE213" s="36"/>
      <c r="CF213" s="61"/>
      <c r="CG213" s="183"/>
      <c r="CH213" s="184"/>
      <c r="CI213" s="36"/>
      <c r="CJ213" s="36"/>
      <c r="CK213" s="36"/>
      <c r="CL213" s="36"/>
      <c r="CM213" s="36"/>
      <c r="CN213" s="36"/>
      <c r="CO213" s="36"/>
      <c r="CP213" s="36"/>
      <c r="CQ213" s="61"/>
      <c r="CR213" s="41"/>
      <c r="CS213" s="66"/>
      <c r="CT213" s="66"/>
      <c r="CU213" s="66"/>
      <c r="CV213" s="66"/>
      <c r="CW213" s="6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61"/>
      <c r="DL213" s="56"/>
      <c r="DM213" s="57"/>
      <c r="DN213" s="41"/>
      <c r="DO213" s="56"/>
      <c r="DP213" s="57"/>
      <c r="DQ213" s="57"/>
      <c r="DR213" s="41"/>
      <c r="DS213" s="41"/>
      <c r="DT213" s="41"/>
      <c r="DU213" s="41"/>
    </row>
    <row r="214" spans="1:125" s="48" customFormat="1" ht="16.5" customHeight="1" x14ac:dyDescent="0.3">
      <c r="A214" s="76"/>
      <c r="B214" s="74"/>
      <c r="C214" s="36"/>
      <c r="D214" s="36"/>
      <c r="E214" s="36"/>
      <c r="F214" s="36"/>
      <c r="G214" s="36"/>
      <c r="H214" s="36"/>
      <c r="I214" s="36"/>
      <c r="J214" s="36"/>
      <c r="K214" s="37"/>
      <c r="L214" s="37"/>
      <c r="M214" s="36"/>
      <c r="N214" s="36"/>
      <c r="O214" s="36"/>
      <c r="P214" s="37"/>
      <c r="Q214" s="36"/>
      <c r="R214" s="36"/>
      <c r="S214" s="39"/>
      <c r="T214" s="39"/>
      <c r="U214" s="41"/>
      <c r="V214" s="41"/>
      <c r="W214" s="41"/>
      <c r="X214" s="41"/>
      <c r="Y214" s="41"/>
      <c r="Z214" s="36"/>
      <c r="AA214" s="36"/>
      <c r="AB214" s="36"/>
      <c r="AC214" s="42"/>
      <c r="AD214" s="40"/>
      <c r="AE214" s="41"/>
      <c r="AF214" s="41"/>
      <c r="AG214" s="41"/>
      <c r="AH214" s="41"/>
      <c r="AI214" s="41"/>
      <c r="AJ214" s="36"/>
      <c r="AK214" s="36"/>
      <c r="AL214" s="36"/>
      <c r="AM214" s="42"/>
      <c r="AN214" s="43"/>
      <c r="AO214" s="44"/>
      <c r="AP214" s="41"/>
      <c r="AQ214" s="41"/>
      <c r="AR214" s="41"/>
      <c r="AS214" s="41"/>
      <c r="AT214" s="41"/>
      <c r="AU214" s="41"/>
      <c r="AV214" s="41"/>
      <c r="AW214" s="41"/>
      <c r="AX214" s="36"/>
      <c r="AY214" s="36"/>
      <c r="AZ214" s="36"/>
      <c r="BA214" s="36"/>
      <c r="BB214" s="36"/>
      <c r="BC214" s="36"/>
      <c r="BD214" s="36"/>
      <c r="BE214" s="41"/>
      <c r="BF214" s="41"/>
      <c r="BG214" s="41"/>
      <c r="BH214" s="41"/>
      <c r="BI214" s="42"/>
      <c r="BJ214" s="36"/>
      <c r="BK214" s="36"/>
      <c r="BL214" s="63"/>
      <c r="BM214" s="41"/>
      <c r="BN214" s="46"/>
      <c r="BO214" s="36"/>
      <c r="BP214" s="36"/>
      <c r="BQ214" s="36"/>
      <c r="BR214" s="61"/>
      <c r="BS214" s="41"/>
      <c r="BT214" s="41"/>
      <c r="BU214" s="41"/>
      <c r="BV214" s="41"/>
      <c r="BW214" s="41"/>
      <c r="BX214" s="41"/>
      <c r="BY214" s="36"/>
      <c r="BZ214" s="36"/>
      <c r="CA214" s="73"/>
      <c r="CB214" s="36"/>
      <c r="CC214" s="36"/>
      <c r="CD214" s="36"/>
      <c r="CE214" s="36"/>
      <c r="CF214" s="61"/>
      <c r="CG214" s="183"/>
      <c r="CH214" s="184"/>
      <c r="CI214" s="36"/>
      <c r="CJ214" s="36"/>
      <c r="CK214" s="36"/>
      <c r="CL214" s="36"/>
      <c r="CM214" s="36"/>
      <c r="CN214" s="36"/>
      <c r="CO214" s="36"/>
      <c r="CP214" s="36"/>
      <c r="CQ214" s="61"/>
      <c r="CR214" s="41"/>
      <c r="CS214" s="66"/>
      <c r="CT214" s="66"/>
      <c r="CU214" s="66"/>
      <c r="CV214" s="66"/>
      <c r="CW214" s="6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61"/>
      <c r="DL214" s="56"/>
      <c r="DM214" s="57"/>
      <c r="DN214" s="41"/>
      <c r="DO214" s="56"/>
      <c r="DP214" s="57"/>
      <c r="DQ214" s="57"/>
      <c r="DR214" s="41"/>
      <c r="DS214" s="41"/>
      <c r="DT214" s="41"/>
      <c r="DU214" s="41"/>
    </row>
    <row r="215" spans="1:125" s="48" customFormat="1" ht="16.5" customHeight="1" x14ac:dyDescent="0.3">
      <c r="A215" s="76"/>
      <c r="B215" s="74"/>
      <c r="C215" s="36"/>
      <c r="D215" s="36"/>
      <c r="E215" s="36"/>
      <c r="F215" s="36"/>
      <c r="G215" s="36"/>
      <c r="H215" s="36"/>
      <c r="I215" s="36"/>
      <c r="J215" s="36"/>
      <c r="K215" s="37"/>
      <c r="L215" s="37"/>
      <c r="M215" s="36"/>
      <c r="N215" s="36"/>
      <c r="O215" s="36"/>
      <c r="P215" s="37"/>
      <c r="Q215" s="36"/>
      <c r="R215" s="36"/>
      <c r="S215" s="39"/>
      <c r="T215" s="39"/>
      <c r="U215" s="41"/>
      <c r="V215" s="41"/>
      <c r="W215" s="41"/>
      <c r="X215" s="41"/>
      <c r="Y215" s="41"/>
      <c r="Z215" s="36"/>
      <c r="AA215" s="36"/>
      <c r="AB215" s="36"/>
      <c r="AC215" s="42"/>
      <c r="AD215" s="40"/>
      <c r="AE215" s="41"/>
      <c r="AF215" s="41"/>
      <c r="AG215" s="41"/>
      <c r="AH215" s="41"/>
      <c r="AI215" s="41"/>
      <c r="AJ215" s="36"/>
      <c r="AK215" s="36"/>
      <c r="AL215" s="36"/>
      <c r="AM215" s="42"/>
      <c r="AN215" s="43"/>
      <c r="AO215" s="44"/>
      <c r="AP215" s="41"/>
      <c r="AQ215" s="41"/>
      <c r="AR215" s="41"/>
      <c r="AS215" s="41"/>
      <c r="AT215" s="41"/>
      <c r="AU215" s="41"/>
      <c r="AV215" s="41"/>
      <c r="AW215" s="41"/>
      <c r="AX215" s="36"/>
      <c r="AY215" s="36"/>
      <c r="AZ215" s="36"/>
      <c r="BA215" s="36"/>
      <c r="BB215" s="36"/>
      <c r="BC215" s="36"/>
      <c r="BD215" s="36"/>
      <c r="BE215" s="41"/>
      <c r="BF215" s="41"/>
      <c r="BG215" s="41"/>
      <c r="BH215" s="41"/>
      <c r="BI215" s="42"/>
      <c r="BJ215" s="36"/>
      <c r="BK215" s="36"/>
      <c r="BL215" s="63"/>
      <c r="BM215" s="41"/>
      <c r="BN215" s="46"/>
      <c r="BO215" s="36"/>
      <c r="BP215" s="36"/>
      <c r="BQ215" s="36"/>
      <c r="BR215" s="41"/>
      <c r="BS215" s="41"/>
      <c r="BT215" s="41"/>
      <c r="BU215" s="41"/>
      <c r="BV215" s="41"/>
      <c r="BW215" s="41"/>
      <c r="BX215" s="41"/>
      <c r="BY215" s="36"/>
      <c r="BZ215" s="36"/>
      <c r="CA215" s="73"/>
      <c r="CB215" s="36"/>
      <c r="CC215" s="36"/>
      <c r="CD215" s="36"/>
      <c r="CE215" s="36"/>
      <c r="CF215" s="61"/>
      <c r="CG215" s="183"/>
      <c r="CH215" s="184"/>
      <c r="CI215" s="36"/>
      <c r="CJ215" s="36"/>
      <c r="CK215" s="36"/>
      <c r="CL215" s="36"/>
      <c r="CM215" s="36"/>
      <c r="CN215" s="36"/>
      <c r="CO215" s="36"/>
      <c r="CP215" s="36"/>
      <c r="CQ215" s="61"/>
      <c r="CR215" s="41"/>
      <c r="CS215" s="66"/>
      <c r="CT215" s="66"/>
      <c r="CU215" s="66"/>
      <c r="CV215" s="66"/>
      <c r="CW215" s="6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61"/>
      <c r="DL215" s="56"/>
      <c r="DM215" s="57"/>
      <c r="DN215" s="41"/>
      <c r="DO215" s="56"/>
      <c r="DP215" s="57"/>
      <c r="DQ215" s="57"/>
      <c r="DR215" s="41"/>
      <c r="DS215" s="41"/>
      <c r="DT215" s="41"/>
      <c r="DU215" s="41"/>
    </row>
    <row r="216" spans="1:125" s="48" customFormat="1" ht="16.5" customHeight="1" x14ac:dyDescent="0.3">
      <c r="A216" s="76"/>
      <c r="B216" s="74"/>
      <c r="C216" s="36"/>
      <c r="D216" s="36"/>
      <c r="E216" s="36"/>
      <c r="F216" s="36"/>
      <c r="G216" s="36"/>
      <c r="H216" s="36"/>
      <c r="I216" s="36"/>
      <c r="J216" s="36"/>
      <c r="K216" s="37"/>
      <c r="L216" s="37"/>
      <c r="M216" s="36"/>
      <c r="N216" s="36"/>
      <c r="O216" s="36"/>
      <c r="P216" s="37"/>
      <c r="Q216" s="36"/>
      <c r="R216" s="36"/>
      <c r="S216" s="39"/>
      <c r="T216" s="39"/>
      <c r="U216" s="41"/>
      <c r="V216" s="41"/>
      <c r="W216" s="41"/>
      <c r="X216" s="41"/>
      <c r="Y216" s="41"/>
      <c r="Z216" s="36"/>
      <c r="AA216" s="36"/>
      <c r="AB216" s="36"/>
      <c r="AC216" s="42"/>
      <c r="AD216" s="40"/>
      <c r="AE216" s="41"/>
      <c r="AF216" s="41"/>
      <c r="AG216" s="41"/>
      <c r="AH216" s="41"/>
      <c r="AI216" s="41"/>
      <c r="AJ216" s="36"/>
      <c r="AK216" s="36"/>
      <c r="AL216" s="36"/>
      <c r="AM216" s="42"/>
      <c r="AN216" s="43"/>
      <c r="AO216" s="44"/>
      <c r="AP216" s="41"/>
      <c r="AQ216" s="41"/>
      <c r="AR216" s="41"/>
      <c r="AS216" s="41"/>
      <c r="AT216" s="41"/>
      <c r="AU216" s="41"/>
      <c r="AV216" s="41"/>
      <c r="AW216" s="41"/>
      <c r="AX216" s="36"/>
      <c r="AY216" s="36"/>
      <c r="AZ216" s="36"/>
      <c r="BA216" s="36"/>
      <c r="BB216" s="36"/>
      <c r="BC216" s="36"/>
      <c r="BD216" s="36"/>
      <c r="BE216" s="41"/>
      <c r="BF216" s="41"/>
      <c r="BG216" s="41"/>
      <c r="BH216" s="41"/>
      <c r="BI216" s="42"/>
      <c r="BJ216" s="36"/>
      <c r="BK216" s="36"/>
      <c r="BL216" s="63"/>
      <c r="BM216" s="41"/>
      <c r="BN216" s="46"/>
      <c r="BO216" s="36"/>
      <c r="BP216" s="36"/>
      <c r="BQ216" s="36"/>
      <c r="BR216" s="41"/>
      <c r="BS216" s="41"/>
      <c r="BT216" s="41"/>
      <c r="BU216" s="41"/>
      <c r="BV216" s="41"/>
      <c r="BW216" s="41"/>
      <c r="BX216" s="41"/>
      <c r="BY216" s="36"/>
      <c r="BZ216" s="36"/>
      <c r="CA216" s="73"/>
      <c r="CB216" s="36"/>
      <c r="CC216" s="36"/>
      <c r="CD216" s="36"/>
      <c r="CE216" s="36"/>
      <c r="CF216" s="61"/>
      <c r="CG216" s="183"/>
      <c r="CH216" s="184"/>
      <c r="CI216" s="36"/>
      <c r="CJ216" s="36"/>
      <c r="CK216" s="36"/>
      <c r="CL216" s="36"/>
      <c r="CM216" s="36"/>
      <c r="CN216" s="36"/>
      <c r="CO216" s="36"/>
      <c r="CP216" s="36"/>
      <c r="CQ216" s="61"/>
      <c r="CR216" s="41"/>
      <c r="CS216" s="66"/>
      <c r="CT216" s="66"/>
      <c r="CU216" s="66"/>
      <c r="CV216" s="66"/>
      <c r="CW216" s="6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61"/>
      <c r="DL216" s="56"/>
      <c r="DM216" s="57"/>
      <c r="DN216" s="41"/>
      <c r="DO216" s="56"/>
      <c r="DP216" s="57"/>
      <c r="DQ216" s="57"/>
      <c r="DR216" s="41"/>
      <c r="DS216" s="41"/>
      <c r="DT216" s="41"/>
      <c r="DU216" s="41"/>
    </row>
    <row r="217" spans="1:125" s="48" customFormat="1" ht="16.5" customHeight="1" x14ac:dyDescent="0.3">
      <c r="A217" s="76"/>
      <c r="B217" s="74"/>
      <c r="C217" s="36"/>
      <c r="D217" s="36"/>
      <c r="E217" s="36"/>
      <c r="F217" s="36"/>
      <c r="G217" s="36"/>
      <c r="H217" s="36"/>
      <c r="I217" s="36"/>
      <c r="J217" s="36"/>
      <c r="K217" s="37"/>
      <c r="L217" s="37"/>
      <c r="M217" s="36"/>
      <c r="N217" s="36"/>
      <c r="O217" s="36"/>
      <c r="P217" s="37"/>
      <c r="Q217" s="36"/>
      <c r="R217" s="36"/>
      <c r="S217" s="39"/>
      <c r="T217" s="39"/>
      <c r="U217" s="41"/>
      <c r="V217" s="41"/>
      <c r="W217" s="41"/>
      <c r="X217" s="41"/>
      <c r="Y217" s="41"/>
      <c r="Z217" s="36"/>
      <c r="AA217" s="36"/>
      <c r="AB217" s="36"/>
      <c r="AC217" s="42"/>
      <c r="AD217" s="40"/>
      <c r="AE217" s="41"/>
      <c r="AF217" s="41"/>
      <c r="AG217" s="41"/>
      <c r="AH217" s="41"/>
      <c r="AI217" s="41"/>
      <c r="AJ217" s="36"/>
      <c r="AK217" s="36"/>
      <c r="AL217" s="36"/>
      <c r="AM217" s="42"/>
      <c r="AN217" s="43"/>
      <c r="AO217" s="44"/>
      <c r="AP217" s="41"/>
      <c r="AQ217" s="41"/>
      <c r="AR217" s="41"/>
      <c r="AS217" s="41"/>
      <c r="AT217" s="41"/>
      <c r="AU217" s="41"/>
      <c r="AV217" s="41"/>
      <c r="AW217" s="41"/>
      <c r="AX217" s="36"/>
      <c r="AY217" s="36"/>
      <c r="AZ217" s="36"/>
      <c r="BA217" s="36"/>
      <c r="BB217" s="36"/>
      <c r="BC217" s="36"/>
      <c r="BD217" s="36"/>
      <c r="BE217" s="41"/>
      <c r="BF217" s="41"/>
      <c r="BG217" s="41"/>
      <c r="BH217" s="41"/>
      <c r="BI217" s="42"/>
      <c r="BJ217" s="36"/>
      <c r="BK217" s="36"/>
      <c r="BL217" s="63"/>
      <c r="BM217" s="41"/>
      <c r="BN217" s="46"/>
      <c r="BO217" s="36"/>
      <c r="BP217" s="36"/>
      <c r="BQ217" s="36"/>
      <c r="BR217" s="41"/>
      <c r="BS217" s="41"/>
      <c r="BT217" s="41"/>
      <c r="BU217" s="41"/>
      <c r="BV217" s="41"/>
      <c r="BW217" s="41"/>
      <c r="BX217" s="41"/>
      <c r="BY217" s="36"/>
      <c r="BZ217" s="36"/>
      <c r="CA217" s="73"/>
      <c r="CB217" s="36"/>
      <c r="CC217" s="36"/>
      <c r="CD217" s="36"/>
      <c r="CE217" s="36"/>
      <c r="CF217" s="61"/>
      <c r="CG217" s="183"/>
      <c r="CH217" s="184"/>
      <c r="CI217" s="36"/>
      <c r="CJ217" s="36"/>
      <c r="CK217" s="36"/>
      <c r="CL217" s="36"/>
      <c r="CM217" s="36"/>
      <c r="CN217" s="36"/>
      <c r="CO217" s="36"/>
      <c r="CP217" s="36"/>
      <c r="CQ217" s="61"/>
      <c r="CR217" s="41"/>
      <c r="CS217" s="66"/>
      <c r="CT217" s="66"/>
      <c r="CU217" s="66"/>
      <c r="CV217" s="66"/>
      <c r="CW217" s="6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61"/>
      <c r="DL217" s="56"/>
      <c r="DM217" s="57"/>
      <c r="DN217" s="41"/>
      <c r="DO217" s="56"/>
      <c r="DP217" s="57"/>
      <c r="DQ217" s="57"/>
      <c r="DR217" s="41"/>
      <c r="DS217" s="41"/>
      <c r="DT217" s="41"/>
      <c r="DU217" s="41"/>
    </row>
    <row r="218" spans="1:125" s="48" customFormat="1" ht="16.5" customHeight="1" x14ac:dyDescent="0.3">
      <c r="A218" s="76"/>
      <c r="B218" s="74"/>
      <c r="C218" s="36"/>
      <c r="D218" s="36"/>
      <c r="E218" s="36"/>
      <c r="F218" s="36"/>
      <c r="G218" s="36"/>
      <c r="H218" s="36"/>
      <c r="I218" s="36"/>
      <c r="J218" s="36"/>
      <c r="K218" s="37"/>
      <c r="L218" s="37"/>
      <c r="M218" s="36"/>
      <c r="N218" s="36"/>
      <c r="O218" s="36"/>
      <c r="P218" s="37"/>
      <c r="Q218" s="36"/>
      <c r="R218" s="36"/>
      <c r="S218" s="39"/>
      <c r="T218" s="39"/>
      <c r="U218" s="41"/>
      <c r="V218" s="41"/>
      <c r="W218" s="41"/>
      <c r="X218" s="41"/>
      <c r="Y218" s="41"/>
      <c r="Z218" s="36"/>
      <c r="AA218" s="36"/>
      <c r="AB218" s="36"/>
      <c r="AC218" s="42"/>
      <c r="AD218" s="40"/>
      <c r="AE218" s="41"/>
      <c r="AF218" s="41"/>
      <c r="AG218" s="41"/>
      <c r="AH218" s="41"/>
      <c r="AI218" s="41"/>
      <c r="AJ218" s="36"/>
      <c r="AK218" s="36"/>
      <c r="AL218" s="36"/>
      <c r="AM218" s="42"/>
      <c r="AN218" s="43"/>
      <c r="AO218" s="44"/>
      <c r="AP218" s="41"/>
      <c r="AQ218" s="41"/>
      <c r="AR218" s="41"/>
      <c r="AS218" s="41"/>
      <c r="AT218" s="41"/>
      <c r="AU218" s="41"/>
      <c r="AV218" s="41"/>
      <c r="AW218" s="41"/>
      <c r="AX218" s="36"/>
      <c r="AY218" s="36"/>
      <c r="AZ218" s="36"/>
      <c r="BA218" s="36"/>
      <c r="BB218" s="36"/>
      <c r="BC218" s="36"/>
      <c r="BD218" s="36"/>
      <c r="BE218" s="41"/>
      <c r="BF218" s="41"/>
      <c r="BG218" s="41"/>
      <c r="BH218" s="41"/>
      <c r="BI218" s="42"/>
      <c r="BJ218" s="36"/>
      <c r="BK218" s="36"/>
      <c r="BL218" s="63"/>
      <c r="BM218" s="41"/>
      <c r="BN218" s="46"/>
      <c r="BO218" s="36"/>
      <c r="BP218" s="36"/>
      <c r="BQ218" s="36"/>
      <c r="BR218" s="41"/>
      <c r="BS218" s="41"/>
      <c r="BT218" s="41"/>
      <c r="BU218" s="41"/>
      <c r="BV218" s="41"/>
      <c r="BW218" s="41"/>
      <c r="BX218" s="41"/>
      <c r="BY218" s="36"/>
      <c r="BZ218" s="36"/>
      <c r="CA218" s="73"/>
      <c r="CB218" s="36"/>
      <c r="CC218" s="36"/>
      <c r="CD218" s="36"/>
      <c r="CE218" s="36"/>
      <c r="CF218" s="61"/>
      <c r="CG218" s="183"/>
      <c r="CH218" s="184"/>
      <c r="CI218" s="36"/>
      <c r="CJ218" s="36"/>
      <c r="CK218" s="36"/>
      <c r="CL218" s="36"/>
      <c r="CM218" s="36"/>
      <c r="CN218" s="36"/>
      <c r="CO218" s="36"/>
      <c r="CP218" s="36"/>
      <c r="CQ218" s="61"/>
      <c r="CR218" s="41"/>
      <c r="CS218" s="66"/>
      <c r="CT218" s="66"/>
      <c r="CU218" s="66"/>
      <c r="CV218" s="66"/>
      <c r="CW218" s="6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61"/>
      <c r="DL218" s="56"/>
      <c r="DM218" s="57"/>
      <c r="DN218" s="41"/>
      <c r="DO218" s="56"/>
      <c r="DP218" s="57"/>
      <c r="DQ218" s="57"/>
      <c r="DR218" s="41"/>
      <c r="DS218" s="41"/>
      <c r="DT218" s="41"/>
      <c r="DU218" s="41"/>
    </row>
    <row r="219" spans="1:125" s="48" customFormat="1" ht="16.5" customHeight="1" x14ac:dyDescent="0.3">
      <c r="A219" s="76"/>
      <c r="B219" s="74"/>
      <c r="C219" s="36"/>
      <c r="D219" s="36"/>
      <c r="E219" s="36"/>
      <c r="F219" s="36"/>
      <c r="G219" s="36"/>
      <c r="H219" s="36"/>
      <c r="I219" s="36"/>
      <c r="J219" s="36"/>
      <c r="K219" s="37"/>
      <c r="L219" s="37"/>
      <c r="M219" s="36"/>
      <c r="N219" s="36"/>
      <c r="O219" s="36"/>
      <c r="P219" s="37"/>
      <c r="Q219" s="36"/>
      <c r="R219" s="36"/>
      <c r="S219" s="39"/>
      <c r="T219" s="39"/>
      <c r="U219" s="41"/>
      <c r="V219" s="41"/>
      <c r="W219" s="41"/>
      <c r="X219" s="41"/>
      <c r="Y219" s="41"/>
      <c r="Z219" s="36"/>
      <c r="AA219" s="36"/>
      <c r="AB219" s="36"/>
      <c r="AC219" s="42"/>
      <c r="AD219" s="40"/>
      <c r="AE219" s="41"/>
      <c r="AF219" s="41"/>
      <c r="AG219" s="41"/>
      <c r="AH219" s="41"/>
      <c r="AI219" s="41"/>
      <c r="AJ219" s="36"/>
      <c r="AK219" s="36"/>
      <c r="AL219" s="36"/>
      <c r="AM219" s="42"/>
      <c r="AN219" s="43"/>
      <c r="AO219" s="44"/>
      <c r="AP219" s="41"/>
      <c r="AQ219" s="41"/>
      <c r="AR219" s="41"/>
      <c r="AS219" s="41"/>
      <c r="AT219" s="41"/>
      <c r="AU219" s="41"/>
      <c r="AV219" s="41"/>
      <c r="AW219" s="41"/>
      <c r="AX219" s="36"/>
      <c r="AY219" s="36"/>
      <c r="AZ219" s="36"/>
      <c r="BA219" s="36"/>
      <c r="BB219" s="36"/>
      <c r="BC219" s="36"/>
      <c r="BD219" s="36"/>
      <c r="BE219" s="41"/>
      <c r="BF219" s="41"/>
      <c r="BG219" s="41"/>
      <c r="BH219" s="41"/>
      <c r="BI219" s="42"/>
      <c r="BJ219" s="36"/>
      <c r="BK219" s="36"/>
      <c r="BL219" s="63"/>
      <c r="BM219" s="41"/>
      <c r="BN219" s="46"/>
      <c r="BO219" s="36"/>
      <c r="BP219" s="36"/>
      <c r="BQ219" s="36"/>
      <c r="BR219" s="41"/>
      <c r="BS219" s="41"/>
      <c r="BT219" s="41"/>
      <c r="BU219" s="41"/>
      <c r="BV219" s="41"/>
      <c r="BW219" s="41"/>
      <c r="BX219" s="41"/>
      <c r="BY219" s="36"/>
      <c r="BZ219" s="36"/>
      <c r="CA219" s="73"/>
      <c r="CB219" s="36"/>
      <c r="CC219" s="36"/>
      <c r="CD219" s="36"/>
      <c r="CE219" s="36"/>
      <c r="CF219" s="61"/>
      <c r="CG219" s="183"/>
      <c r="CH219" s="184"/>
      <c r="CI219" s="36"/>
      <c r="CJ219" s="36"/>
      <c r="CK219" s="36"/>
      <c r="CL219" s="36"/>
      <c r="CM219" s="36"/>
      <c r="CN219" s="36"/>
      <c r="CO219" s="36"/>
      <c r="CP219" s="36"/>
      <c r="CQ219" s="61"/>
      <c r="CR219" s="41"/>
      <c r="CS219" s="66"/>
      <c r="CT219" s="66"/>
      <c r="CU219" s="66"/>
      <c r="CV219" s="66"/>
      <c r="CW219" s="6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61"/>
      <c r="DL219" s="56"/>
      <c r="DM219" s="57"/>
      <c r="DN219" s="41"/>
      <c r="DO219" s="56"/>
      <c r="DP219" s="57"/>
      <c r="DQ219" s="57"/>
      <c r="DR219" s="41"/>
      <c r="DS219" s="41"/>
      <c r="DT219" s="41"/>
      <c r="DU219" s="41"/>
    </row>
    <row r="220" spans="1:125" s="48" customFormat="1" ht="16.5" customHeight="1" x14ac:dyDescent="0.3">
      <c r="A220" s="76"/>
      <c r="B220" s="74"/>
      <c r="C220" s="36"/>
      <c r="D220" s="36"/>
      <c r="E220" s="36"/>
      <c r="F220" s="36"/>
      <c r="G220" s="36"/>
      <c r="H220" s="36"/>
      <c r="I220" s="36"/>
      <c r="J220" s="36"/>
      <c r="K220" s="37"/>
      <c r="L220" s="37"/>
      <c r="M220" s="36"/>
      <c r="N220" s="36"/>
      <c r="O220" s="36"/>
      <c r="P220" s="37"/>
      <c r="Q220" s="36"/>
      <c r="R220" s="36"/>
      <c r="S220" s="39"/>
      <c r="T220" s="39"/>
      <c r="U220" s="41"/>
      <c r="V220" s="41"/>
      <c r="W220" s="41"/>
      <c r="X220" s="41"/>
      <c r="Y220" s="41"/>
      <c r="Z220" s="36"/>
      <c r="AA220" s="36"/>
      <c r="AB220" s="36"/>
      <c r="AC220" s="42"/>
      <c r="AD220" s="40"/>
      <c r="AE220" s="41"/>
      <c r="AF220" s="41"/>
      <c r="AG220" s="41"/>
      <c r="AH220" s="41"/>
      <c r="AI220" s="41"/>
      <c r="AJ220" s="36"/>
      <c r="AK220" s="36"/>
      <c r="AL220" s="36"/>
      <c r="AM220" s="42"/>
      <c r="AN220" s="43"/>
      <c r="AO220" s="44"/>
      <c r="AP220" s="41"/>
      <c r="AQ220" s="41"/>
      <c r="AR220" s="41"/>
      <c r="AS220" s="41"/>
      <c r="AT220" s="41"/>
      <c r="AU220" s="41"/>
      <c r="AV220" s="41"/>
      <c r="AW220" s="41"/>
      <c r="AX220" s="36"/>
      <c r="AY220" s="36"/>
      <c r="AZ220" s="36"/>
      <c r="BA220" s="36"/>
      <c r="BB220" s="36"/>
      <c r="BC220" s="36"/>
      <c r="BD220" s="36"/>
      <c r="BE220" s="41"/>
      <c r="BF220" s="41"/>
      <c r="BG220" s="41"/>
      <c r="BH220" s="41"/>
      <c r="BI220" s="42"/>
      <c r="BJ220" s="36"/>
      <c r="BK220" s="36"/>
      <c r="BL220" s="63"/>
      <c r="BM220" s="41"/>
      <c r="BN220" s="46"/>
      <c r="BO220" s="36"/>
      <c r="BP220" s="36"/>
      <c r="BQ220" s="36"/>
      <c r="BR220" s="41"/>
      <c r="BS220" s="41"/>
      <c r="BT220" s="41"/>
      <c r="BU220" s="41"/>
      <c r="BV220" s="41"/>
      <c r="BW220" s="41"/>
      <c r="BX220" s="41"/>
      <c r="BY220" s="36"/>
      <c r="BZ220" s="36"/>
      <c r="CA220" s="73"/>
      <c r="CB220" s="36"/>
      <c r="CC220" s="36"/>
      <c r="CD220" s="36"/>
      <c r="CE220" s="36"/>
      <c r="CF220" s="61"/>
      <c r="CG220" s="183"/>
      <c r="CH220" s="184"/>
      <c r="CI220" s="36"/>
      <c r="CJ220" s="36"/>
      <c r="CK220" s="36"/>
      <c r="CL220" s="36"/>
      <c r="CM220" s="36"/>
      <c r="CN220" s="36"/>
      <c r="CO220" s="36"/>
      <c r="CP220" s="36"/>
      <c r="CQ220" s="61"/>
      <c r="CR220" s="41"/>
      <c r="CS220" s="66"/>
      <c r="CT220" s="66"/>
      <c r="CU220" s="66"/>
      <c r="CV220" s="66"/>
      <c r="CW220" s="6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61"/>
      <c r="DL220" s="56"/>
      <c r="DM220" s="57"/>
      <c r="DN220" s="41"/>
      <c r="DO220" s="56"/>
      <c r="DP220" s="57"/>
      <c r="DQ220" s="57"/>
      <c r="DR220" s="41"/>
      <c r="DS220" s="41"/>
      <c r="DT220" s="41"/>
      <c r="DU220" s="41"/>
    </row>
    <row r="221" spans="1:125" s="48" customFormat="1" ht="16.5" customHeight="1" x14ac:dyDescent="0.3">
      <c r="A221" s="76"/>
      <c r="B221" s="74"/>
      <c r="C221" s="36"/>
      <c r="D221" s="36"/>
      <c r="E221" s="36"/>
      <c r="F221" s="36"/>
      <c r="G221" s="36"/>
      <c r="H221" s="36"/>
      <c r="I221" s="36"/>
      <c r="J221" s="36"/>
      <c r="K221" s="37"/>
      <c r="L221" s="37"/>
      <c r="M221" s="36"/>
      <c r="N221" s="36"/>
      <c r="O221" s="36"/>
      <c r="P221" s="37"/>
      <c r="Q221" s="36"/>
      <c r="R221" s="36"/>
      <c r="S221" s="39"/>
      <c r="T221" s="39"/>
      <c r="U221" s="41"/>
      <c r="V221" s="41"/>
      <c r="W221" s="41"/>
      <c r="X221" s="41"/>
      <c r="Y221" s="41"/>
      <c r="Z221" s="36"/>
      <c r="AA221" s="36"/>
      <c r="AB221" s="36"/>
      <c r="AC221" s="42"/>
      <c r="AD221" s="40"/>
      <c r="AE221" s="41"/>
      <c r="AF221" s="41"/>
      <c r="AG221" s="41"/>
      <c r="AH221" s="41"/>
      <c r="AI221" s="41"/>
      <c r="AJ221" s="36"/>
      <c r="AK221" s="36"/>
      <c r="AL221" s="36"/>
      <c r="AM221" s="42"/>
      <c r="AN221" s="43"/>
      <c r="AO221" s="44"/>
      <c r="AP221" s="41"/>
      <c r="AQ221" s="41"/>
      <c r="AR221" s="41"/>
      <c r="AS221" s="41"/>
      <c r="AT221" s="41"/>
      <c r="AU221" s="41"/>
      <c r="AV221" s="41"/>
      <c r="AW221" s="41"/>
      <c r="AX221" s="36"/>
      <c r="AY221" s="36"/>
      <c r="AZ221" s="36"/>
      <c r="BA221" s="36"/>
      <c r="BB221" s="36"/>
      <c r="BC221" s="36"/>
      <c r="BD221" s="36"/>
      <c r="BE221" s="41"/>
      <c r="BF221" s="41"/>
      <c r="BG221" s="41"/>
      <c r="BH221" s="58"/>
      <c r="BI221" s="42"/>
      <c r="BJ221" s="58"/>
      <c r="BK221" s="36"/>
      <c r="BL221" s="63"/>
      <c r="BM221" s="41"/>
      <c r="BN221" s="46"/>
      <c r="BO221" s="36"/>
      <c r="BP221" s="36"/>
      <c r="BQ221" s="36"/>
      <c r="BR221" s="103"/>
      <c r="BS221" s="72"/>
      <c r="BT221" s="72"/>
      <c r="BU221" s="72"/>
      <c r="BV221" s="72"/>
      <c r="BW221" s="72"/>
      <c r="BX221" s="104"/>
      <c r="BY221" s="58"/>
      <c r="BZ221" s="36"/>
      <c r="CA221" s="73"/>
      <c r="CB221" s="36"/>
      <c r="CC221" s="58"/>
      <c r="CD221" s="36"/>
      <c r="CE221" s="36"/>
      <c r="CF221" s="61"/>
      <c r="CG221" s="183"/>
      <c r="CH221" s="184"/>
      <c r="CI221" s="36"/>
      <c r="CJ221" s="36"/>
      <c r="CK221" s="36"/>
      <c r="CL221" s="36"/>
      <c r="CM221" s="36"/>
      <c r="CN221" s="36"/>
      <c r="CO221" s="36"/>
      <c r="CP221" s="36"/>
      <c r="CQ221" s="61"/>
      <c r="CR221" s="41"/>
      <c r="CS221" s="66"/>
      <c r="CT221" s="66"/>
      <c r="CU221" s="66"/>
      <c r="CV221" s="66"/>
      <c r="CW221" s="6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61"/>
      <c r="DL221" s="56"/>
      <c r="DM221" s="57"/>
      <c r="DN221" s="41"/>
      <c r="DO221" s="56"/>
      <c r="DP221" s="57"/>
      <c r="DQ221" s="57"/>
      <c r="DR221" s="41"/>
      <c r="DS221" s="41"/>
      <c r="DT221" s="41"/>
      <c r="DU221" s="41"/>
    </row>
    <row r="222" spans="1:125" x14ac:dyDescent="0.3">
      <c r="A222" s="76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77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8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58"/>
      <c r="CV222" s="77"/>
      <c r="CX222" s="95"/>
      <c r="CY222" s="95"/>
      <c r="CZ222" s="95"/>
      <c r="DA222" s="95"/>
      <c r="DB222" s="95"/>
      <c r="DC222" s="58"/>
      <c r="DD222" s="58"/>
      <c r="DE222" s="58"/>
      <c r="DF222" s="58"/>
      <c r="DG222" s="58"/>
      <c r="DH222" s="58"/>
      <c r="DI222" s="58"/>
      <c r="DJ222" s="58"/>
      <c r="DK222" s="77"/>
      <c r="DL222" s="58"/>
      <c r="DM222" s="58"/>
      <c r="DN222" s="58"/>
      <c r="DO222" s="58"/>
      <c r="DP222" s="58"/>
      <c r="DQ222" s="58"/>
      <c r="DR222" s="58"/>
      <c r="DS222" s="58"/>
      <c r="DT222" s="58"/>
      <c r="DU222" s="58"/>
    </row>
    <row r="223" spans="1:125" x14ac:dyDescent="0.3">
      <c r="A223" s="76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77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58"/>
      <c r="CV223" s="77"/>
      <c r="CX223" s="95"/>
      <c r="CY223" s="95"/>
      <c r="CZ223" s="95"/>
      <c r="DA223" s="95"/>
      <c r="DB223" s="95"/>
      <c r="DC223" s="58"/>
      <c r="DD223" s="58"/>
      <c r="DE223" s="58"/>
      <c r="DF223" s="58"/>
      <c r="DG223" s="58"/>
      <c r="DH223" s="58"/>
      <c r="DI223" s="58"/>
      <c r="DJ223" s="58"/>
      <c r="DK223" s="77"/>
      <c r="DL223" s="58"/>
      <c r="DM223" s="58"/>
      <c r="DN223" s="58"/>
      <c r="DO223" s="58"/>
      <c r="DP223" s="58"/>
      <c r="DQ223" s="58"/>
      <c r="DR223" s="58"/>
      <c r="DS223" s="58"/>
      <c r="DT223" s="58"/>
      <c r="DU223" s="58"/>
    </row>
    <row r="224" spans="1:125" x14ac:dyDescent="0.3">
      <c r="A224" s="76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77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58"/>
      <c r="CV224" s="77"/>
      <c r="CX224" s="95"/>
      <c r="CY224" s="95"/>
      <c r="CZ224" s="95"/>
      <c r="DA224" s="95"/>
      <c r="DB224" s="95"/>
      <c r="DC224" s="58"/>
      <c r="DD224" s="58"/>
      <c r="DE224" s="58"/>
      <c r="DF224" s="58"/>
      <c r="DG224" s="58"/>
      <c r="DH224" s="58"/>
      <c r="DI224" s="58"/>
      <c r="DJ224" s="58"/>
      <c r="DK224" s="77"/>
      <c r="DL224" s="58"/>
      <c r="DM224" s="58"/>
      <c r="DN224" s="58"/>
      <c r="DO224" s="58"/>
      <c r="DP224" s="58"/>
      <c r="DQ224" s="58"/>
      <c r="DR224" s="58"/>
      <c r="DS224" s="58"/>
      <c r="DT224" s="58"/>
      <c r="DU224" s="58"/>
    </row>
    <row r="225" spans="1:127" x14ac:dyDescent="0.3">
      <c r="A225" s="76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77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77"/>
      <c r="CX225" s="95"/>
      <c r="CY225" s="95"/>
      <c r="CZ225" s="95"/>
      <c r="DA225" s="95"/>
      <c r="DB225" s="95"/>
      <c r="DC225" s="58"/>
      <c r="DD225" s="58"/>
      <c r="DE225" s="58"/>
      <c r="DF225" s="58"/>
      <c r="DG225" s="58"/>
      <c r="DH225" s="58"/>
      <c r="DI225" s="58"/>
      <c r="DJ225" s="58"/>
      <c r="DK225" s="77"/>
      <c r="DL225" s="58"/>
      <c r="DM225" s="58"/>
      <c r="DN225" s="58"/>
      <c r="DO225" s="58"/>
      <c r="DP225" s="58"/>
      <c r="DQ225" s="58"/>
      <c r="DR225" s="58"/>
      <c r="DS225" s="58"/>
      <c r="DT225" s="58"/>
      <c r="DU225" s="58"/>
    </row>
    <row r="226" spans="1:127" x14ac:dyDescent="0.3">
      <c r="A226" s="76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77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58"/>
      <c r="CV226" s="77"/>
      <c r="CX226" s="95"/>
      <c r="CY226" s="95"/>
      <c r="CZ226" s="95"/>
      <c r="DA226" s="95"/>
      <c r="DB226" s="95"/>
      <c r="DC226" s="58"/>
      <c r="DD226" s="58"/>
      <c r="DE226" s="58"/>
      <c r="DF226" s="58"/>
      <c r="DG226" s="58"/>
      <c r="DH226" s="58"/>
      <c r="DI226" s="58"/>
      <c r="DJ226" s="58"/>
      <c r="DK226" s="77"/>
      <c r="DL226" s="58"/>
      <c r="DM226" s="58"/>
      <c r="DN226" s="58"/>
      <c r="DO226" s="58"/>
      <c r="DP226" s="58"/>
      <c r="DQ226" s="58"/>
      <c r="DR226" s="58"/>
      <c r="DS226" s="58"/>
      <c r="DT226" s="58"/>
      <c r="DU226" s="58"/>
    </row>
    <row r="227" spans="1:127" x14ac:dyDescent="0.3">
      <c r="A227" s="76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77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58"/>
      <c r="CV227" s="77"/>
      <c r="CX227" s="95"/>
      <c r="CY227" s="95"/>
      <c r="CZ227" s="95"/>
      <c r="DA227" s="95"/>
      <c r="DB227" s="95"/>
      <c r="DC227" s="58"/>
      <c r="DD227" s="58"/>
      <c r="DE227" s="58"/>
      <c r="DF227" s="58"/>
      <c r="DG227" s="58"/>
      <c r="DH227" s="58"/>
      <c r="DI227" s="58"/>
      <c r="DJ227" s="58"/>
      <c r="DK227" s="77"/>
      <c r="DL227" s="58"/>
      <c r="DM227" s="58"/>
      <c r="DN227" s="58"/>
      <c r="DO227" s="58"/>
      <c r="DP227" s="58"/>
      <c r="DQ227" s="58"/>
      <c r="DR227" s="58"/>
      <c r="DS227" s="58"/>
      <c r="DT227" s="58"/>
      <c r="DU227" s="58"/>
    </row>
    <row r="228" spans="1:127" x14ac:dyDescent="0.3">
      <c r="A228" s="76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77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58"/>
      <c r="CV228" s="77"/>
      <c r="CX228" s="95"/>
      <c r="CY228" s="95"/>
      <c r="CZ228" s="95"/>
      <c r="DA228" s="95"/>
      <c r="DB228" s="95"/>
      <c r="DC228" s="58"/>
      <c r="DD228" s="58"/>
      <c r="DE228" s="58"/>
      <c r="DF228" s="58"/>
      <c r="DG228" s="58"/>
      <c r="DH228" s="58"/>
      <c r="DI228" s="58"/>
      <c r="DJ228" s="58"/>
      <c r="DK228" s="77"/>
      <c r="DL228" s="58"/>
      <c r="DM228" s="58"/>
      <c r="DN228" s="58"/>
      <c r="DO228" s="58"/>
      <c r="DP228" s="58"/>
      <c r="DQ228" s="58"/>
      <c r="DR228" s="58"/>
      <c r="DS228" s="58"/>
      <c r="DT228" s="58"/>
      <c r="DU228" s="58"/>
    </row>
    <row r="229" spans="1:127" x14ac:dyDescent="0.3">
      <c r="A229" s="76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77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77"/>
      <c r="CX229" s="95"/>
      <c r="CY229" s="95"/>
      <c r="CZ229" s="95"/>
      <c r="DA229" s="95"/>
      <c r="DB229" s="95"/>
      <c r="DC229" s="58"/>
      <c r="DD229" s="58"/>
      <c r="DE229" s="58"/>
      <c r="DF229" s="58"/>
      <c r="DG229" s="58"/>
      <c r="DH229" s="58"/>
      <c r="DI229" s="58"/>
      <c r="DJ229" s="58"/>
      <c r="DK229" s="77"/>
      <c r="DL229" s="58"/>
      <c r="DM229" s="58"/>
      <c r="DN229" s="58"/>
      <c r="DO229" s="58"/>
      <c r="DP229" s="58"/>
      <c r="DQ229" s="58"/>
      <c r="DR229" s="58"/>
      <c r="DS229" s="58"/>
      <c r="DT229" s="58"/>
      <c r="DU229" s="58"/>
      <c r="DV229" s="95"/>
      <c r="DW229" s="58"/>
    </row>
    <row r="230" spans="1:127" x14ac:dyDescent="0.3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77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58"/>
      <c r="CV230" s="77"/>
      <c r="CX230" s="95"/>
      <c r="CY230" s="95"/>
      <c r="CZ230" s="95"/>
      <c r="DA230" s="95"/>
      <c r="DB230" s="95"/>
      <c r="DC230" s="58"/>
      <c r="DD230" s="58"/>
      <c r="DE230" s="58"/>
      <c r="DF230" s="58"/>
      <c r="DG230" s="58"/>
      <c r="DH230" s="58"/>
      <c r="DI230" s="58"/>
      <c r="DJ230" s="58"/>
      <c r="DK230" s="77"/>
      <c r="DL230" s="58"/>
      <c r="DM230" s="58"/>
      <c r="DN230" s="58"/>
      <c r="DO230" s="58"/>
      <c r="DP230" s="58"/>
      <c r="DQ230" s="58"/>
      <c r="DR230" s="58"/>
      <c r="DS230" s="58"/>
      <c r="DT230" s="58"/>
      <c r="DU230" s="58"/>
      <c r="DV230" s="95"/>
      <c r="DW230" s="58"/>
    </row>
    <row r="231" spans="1:127" x14ac:dyDescent="0.3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77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58"/>
      <c r="CV231" s="77"/>
      <c r="CX231" s="95"/>
      <c r="CY231" s="95"/>
      <c r="CZ231" s="95"/>
      <c r="DA231" s="95"/>
      <c r="DB231" s="95"/>
      <c r="DC231" s="58"/>
      <c r="DD231" s="58"/>
      <c r="DE231" s="58"/>
      <c r="DF231" s="58"/>
      <c r="DG231" s="58"/>
      <c r="DH231" s="58"/>
      <c r="DI231" s="58"/>
      <c r="DJ231" s="58"/>
      <c r="DK231" s="77"/>
      <c r="DL231" s="58"/>
      <c r="DM231" s="58"/>
      <c r="DN231" s="58"/>
      <c r="DO231" s="58"/>
      <c r="DP231" s="58"/>
      <c r="DQ231" s="58"/>
      <c r="DR231" s="58"/>
      <c r="DS231" s="58"/>
      <c r="DT231" s="58"/>
      <c r="DU231" s="58"/>
      <c r="DV231" s="95"/>
      <c r="DW231" s="58"/>
    </row>
    <row r="232" spans="1:127" x14ac:dyDescent="0.3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77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58"/>
      <c r="CV232" s="77"/>
      <c r="CX232" s="95"/>
      <c r="CY232" s="95"/>
      <c r="CZ232" s="95"/>
      <c r="DA232" s="95"/>
      <c r="DB232" s="95"/>
      <c r="DC232" s="58"/>
      <c r="DD232" s="58"/>
      <c r="DE232" s="58"/>
      <c r="DF232" s="58"/>
      <c r="DG232" s="58"/>
      <c r="DH232" s="58"/>
      <c r="DI232" s="58"/>
      <c r="DJ232" s="58"/>
      <c r="DK232" s="77"/>
      <c r="DL232" s="58"/>
      <c r="DM232" s="58"/>
      <c r="DN232" s="58"/>
      <c r="DO232" s="58"/>
      <c r="DP232" s="58"/>
      <c r="DQ232" s="58"/>
      <c r="DR232" s="58"/>
      <c r="DS232" s="58"/>
      <c r="DT232" s="58"/>
      <c r="DU232" s="58"/>
      <c r="DV232" s="95"/>
      <c r="DW232" s="58"/>
    </row>
    <row r="233" spans="1:127" x14ac:dyDescent="0.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77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58"/>
      <c r="CV233" s="77"/>
      <c r="CX233" s="95"/>
      <c r="CY233" s="95"/>
      <c r="CZ233" s="95"/>
      <c r="DA233" s="95"/>
      <c r="DB233" s="95"/>
      <c r="DC233" s="58"/>
      <c r="DD233" s="58"/>
      <c r="DE233" s="58"/>
      <c r="DF233" s="58"/>
      <c r="DG233" s="58"/>
      <c r="DH233" s="58"/>
      <c r="DI233" s="58"/>
      <c r="DJ233" s="58"/>
      <c r="DK233" s="77"/>
      <c r="DL233" s="58"/>
      <c r="DM233" s="58"/>
      <c r="DN233" s="58"/>
      <c r="DO233" s="58"/>
      <c r="DP233" s="58"/>
      <c r="DQ233" s="58"/>
      <c r="DR233" s="58"/>
      <c r="DS233" s="58"/>
      <c r="DT233" s="58"/>
      <c r="DU233" s="58"/>
      <c r="DV233" s="95"/>
      <c r="DW233" s="58"/>
    </row>
    <row r="234" spans="1:127" x14ac:dyDescent="0.3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77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/>
      <c r="CP234" s="58"/>
      <c r="CQ234" s="58"/>
      <c r="CR234" s="58"/>
      <c r="CS234" s="58"/>
      <c r="CT234" s="58"/>
      <c r="CU234" s="58"/>
      <c r="CV234" s="77"/>
      <c r="CX234" s="95"/>
      <c r="CY234" s="95"/>
      <c r="CZ234" s="95"/>
      <c r="DA234" s="95"/>
      <c r="DB234" s="95"/>
      <c r="DC234" s="58"/>
      <c r="DD234" s="58"/>
      <c r="DE234" s="58"/>
      <c r="DF234" s="58"/>
      <c r="DG234" s="58"/>
      <c r="DH234" s="58"/>
      <c r="DI234" s="58"/>
      <c r="DJ234" s="58"/>
      <c r="DK234" s="77"/>
      <c r="DL234" s="58"/>
      <c r="DM234" s="58"/>
      <c r="DN234" s="58"/>
      <c r="DO234" s="58"/>
      <c r="DP234" s="58"/>
      <c r="DQ234" s="58"/>
      <c r="DR234" s="58"/>
      <c r="DS234" s="58"/>
      <c r="DT234" s="58"/>
      <c r="DU234" s="58"/>
      <c r="DV234" s="95"/>
      <c r="DW234" s="58"/>
    </row>
    <row r="235" spans="1:127" x14ac:dyDescent="0.3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77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58"/>
      <c r="CV235" s="77"/>
      <c r="CX235" s="95"/>
      <c r="CY235" s="95"/>
      <c r="CZ235" s="95"/>
      <c r="DA235" s="95"/>
      <c r="DB235" s="95"/>
      <c r="DC235" s="58"/>
      <c r="DD235" s="58"/>
      <c r="DE235" s="58"/>
      <c r="DF235" s="58"/>
      <c r="DG235" s="58"/>
      <c r="DH235" s="58"/>
      <c r="DI235" s="58"/>
      <c r="DJ235" s="58"/>
      <c r="DK235" s="77"/>
      <c r="DL235" s="58"/>
      <c r="DM235" s="58"/>
      <c r="DN235" s="58"/>
      <c r="DO235" s="58"/>
      <c r="DP235" s="58"/>
      <c r="DQ235" s="58"/>
      <c r="DR235" s="58"/>
      <c r="DS235" s="58"/>
      <c r="DT235" s="58"/>
      <c r="DU235" s="58"/>
      <c r="DV235" s="95"/>
      <c r="DW235" s="58"/>
    </row>
    <row r="236" spans="1:127" x14ac:dyDescent="0.3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77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8"/>
      <c r="BZ236" s="58"/>
      <c r="CA236" s="58"/>
      <c r="CB236" s="58"/>
      <c r="CC236" s="58"/>
      <c r="CD236" s="58"/>
      <c r="CE236" s="58"/>
      <c r="CF236" s="58"/>
      <c r="CG236" s="58"/>
      <c r="CH236" s="58"/>
      <c r="CI236" s="58"/>
      <c r="CJ236" s="58"/>
      <c r="CK236" s="58"/>
      <c r="CL236" s="58"/>
      <c r="CM236" s="58"/>
      <c r="CN236" s="58"/>
      <c r="CO236" s="58"/>
      <c r="CP236" s="58"/>
      <c r="CQ236" s="58"/>
      <c r="CR236" s="58"/>
      <c r="CS236" s="58"/>
      <c r="CT236" s="58"/>
      <c r="CU236" s="58"/>
      <c r="CV236" s="77"/>
      <c r="CX236" s="95"/>
      <c r="CY236" s="95"/>
      <c r="CZ236" s="95"/>
      <c r="DA236" s="95"/>
      <c r="DB236" s="95"/>
      <c r="DC236" s="58"/>
      <c r="DD236" s="58"/>
      <c r="DE236" s="58"/>
      <c r="DF236" s="58"/>
      <c r="DG236" s="58"/>
      <c r="DH236" s="58"/>
      <c r="DI236" s="58"/>
      <c r="DJ236" s="58"/>
      <c r="DK236" s="77"/>
      <c r="DL236" s="58"/>
      <c r="DM236" s="58"/>
      <c r="DN236" s="58"/>
      <c r="DO236" s="58"/>
      <c r="DP236" s="58"/>
      <c r="DQ236" s="58"/>
      <c r="DR236" s="58"/>
      <c r="DS236" s="58"/>
      <c r="DT236" s="58"/>
      <c r="DU236" s="58"/>
      <c r="DV236" s="95"/>
      <c r="DW236" s="58"/>
    </row>
    <row r="237" spans="1:127" x14ac:dyDescent="0.3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77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58"/>
      <c r="CV237" s="77"/>
      <c r="CX237" s="95"/>
      <c r="CY237" s="95"/>
      <c r="CZ237" s="95"/>
      <c r="DA237" s="95"/>
      <c r="DB237" s="95"/>
      <c r="DC237" s="58"/>
      <c r="DD237" s="58"/>
      <c r="DE237" s="58"/>
      <c r="DF237" s="58"/>
      <c r="DG237" s="58"/>
      <c r="DH237" s="58"/>
      <c r="DI237" s="58"/>
      <c r="DJ237" s="58"/>
      <c r="DK237" s="77"/>
      <c r="DL237" s="58"/>
      <c r="DM237" s="58"/>
      <c r="DN237" s="58"/>
      <c r="DO237" s="58"/>
      <c r="DP237" s="58"/>
      <c r="DQ237" s="58"/>
      <c r="DR237" s="58"/>
      <c r="DS237" s="58"/>
      <c r="DT237" s="58"/>
      <c r="DU237" s="58"/>
      <c r="DV237" s="95"/>
      <c r="DW237" s="58"/>
    </row>
    <row r="238" spans="1:127" x14ac:dyDescent="0.3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77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58"/>
      <c r="CU238" s="58"/>
      <c r="CV238" s="77"/>
      <c r="CX238" s="95"/>
      <c r="CY238" s="95"/>
      <c r="CZ238" s="95"/>
      <c r="DA238" s="95"/>
      <c r="DB238" s="95"/>
      <c r="DC238" s="58"/>
      <c r="DD238" s="58"/>
      <c r="DE238" s="58"/>
      <c r="DF238" s="58"/>
      <c r="DG238" s="58"/>
      <c r="DH238" s="58"/>
      <c r="DI238" s="58"/>
      <c r="DJ238" s="58"/>
      <c r="DK238" s="77"/>
      <c r="DL238" s="58"/>
      <c r="DM238" s="58"/>
      <c r="DN238" s="58"/>
      <c r="DO238" s="58"/>
      <c r="DP238" s="58"/>
      <c r="DQ238" s="58"/>
      <c r="DR238" s="58"/>
      <c r="DS238" s="58"/>
      <c r="DT238" s="58"/>
      <c r="DU238" s="58"/>
      <c r="DV238" s="95"/>
      <c r="DW238" s="58"/>
    </row>
    <row r="239" spans="1:127" x14ac:dyDescent="0.3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77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58"/>
      <c r="CV239" s="77"/>
      <c r="CX239" s="95"/>
      <c r="CY239" s="95"/>
      <c r="CZ239" s="95"/>
      <c r="DA239" s="95"/>
      <c r="DB239" s="95"/>
      <c r="DC239" s="58"/>
      <c r="DD239" s="58"/>
      <c r="DE239" s="58"/>
      <c r="DF239" s="58"/>
      <c r="DG239" s="58"/>
      <c r="DH239" s="58"/>
      <c r="DI239" s="58"/>
      <c r="DJ239" s="58"/>
      <c r="DK239" s="77"/>
      <c r="DL239" s="58"/>
      <c r="DM239" s="58"/>
      <c r="DN239" s="58"/>
      <c r="DO239" s="58"/>
      <c r="DP239" s="58"/>
      <c r="DQ239" s="58"/>
      <c r="DR239" s="58"/>
      <c r="DS239" s="58"/>
      <c r="DT239" s="58"/>
      <c r="DU239" s="58"/>
      <c r="DV239" s="95"/>
      <c r="DW239" s="58"/>
    </row>
    <row r="240" spans="1:127" x14ac:dyDescent="0.3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77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58"/>
      <c r="CV240" s="77"/>
      <c r="CX240" s="95"/>
      <c r="CY240" s="95"/>
      <c r="CZ240" s="95"/>
      <c r="DA240" s="95"/>
      <c r="DB240" s="95"/>
      <c r="DC240" s="58"/>
      <c r="DD240" s="58"/>
      <c r="DE240" s="58"/>
      <c r="DF240" s="58"/>
      <c r="DG240" s="58"/>
      <c r="DH240" s="58"/>
      <c r="DI240" s="58"/>
      <c r="DJ240" s="58"/>
      <c r="DK240" s="77"/>
      <c r="DL240" s="58"/>
      <c r="DM240" s="58"/>
      <c r="DN240" s="58"/>
      <c r="DO240" s="58"/>
      <c r="DP240" s="58"/>
      <c r="DQ240" s="58"/>
      <c r="DR240" s="58"/>
      <c r="DS240" s="58"/>
      <c r="DT240" s="58"/>
      <c r="DU240" s="58"/>
      <c r="DV240" s="95"/>
      <c r="DW240" s="58"/>
    </row>
    <row r="241" spans="1:127" x14ac:dyDescent="0.3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77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58"/>
      <c r="CU241" s="58"/>
      <c r="CV241" s="77"/>
      <c r="CX241" s="95"/>
      <c r="CY241" s="95"/>
      <c r="CZ241" s="95"/>
      <c r="DA241" s="95"/>
      <c r="DB241" s="95"/>
      <c r="DC241" s="58"/>
      <c r="DD241" s="58"/>
      <c r="DE241" s="58"/>
      <c r="DF241" s="58"/>
      <c r="DG241" s="58"/>
      <c r="DH241" s="58"/>
      <c r="DI241" s="58"/>
      <c r="DJ241" s="58"/>
      <c r="DK241" s="77"/>
      <c r="DL241" s="58"/>
      <c r="DM241" s="58"/>
      <c r="DN241" s="58"/>
      <c r="DO241" s="58"/>
      <c r="DP241" s="58"/>
      <c r="DQ241" s="58"/>
      <c r="DR241" s="58"/>
      <c r="DS241" s="58"/>
      <c r="DT241" s="58"/>
      <c r="DU241" s="58"/>
      <c r="DV241" s="95"/>
      <c r="DW241" s="58"/>
    </row>
    <row r="242" spans="1:127" x14ac:dyDescent="0.3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77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58"/>
      <c r="CV242" s="77"/>
      <c r="CX242" s="95"/>
      <c r="CY242" s="95"/>
      <c r="CZ242" s="95"/>
      <c r="DA242" s="95"/>
      <c r="DB242" s="95"/>
      <c r="DC242" s="58"/>
      <c r="DD242" s="58"/>
      <c r="DE242" s="58"/>
      <c r="DF242" s="58"/>
      <c r="DG242" s="58"/>
      <c r="DH242" s="58"/>
      <c r="DI242" s="58"/>
      <c r="DJ242" s="58"/>
      <c r="DK242" s="77"/>
      <c r="DL242" s="58"/>
      <c r="DM242" s="58"/>
      <c r="DN242" s="58"/>
      <c r="DO242" s="58"/>
      <c r="DP242" s="58"/>
      <c r="DQ242" s="58"/>
      <c r="DR242" s="58"/>
      <c r="DS242" s="58"/>
      <c r="DT242" s="58"/>
      <c r="DU242" s="58"/>
      <c r="DV242" s="95"/>
      <c r="DW242" s="58"/>
    </row>
    <row r="243" spans="1:127" x14ac:dyDescent="0.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77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58"/>
      <c r="CU243" s="58"/>
      <c r="CV243" s="77"/>
      <c r="CX243" s="95"/>
      <c r="CY243" s="95"/>
      <c r="CZ243" s="95"/>
      <c r="DA243" s="95"/>
      <c r="DB243" s="95"/>
      <c r="DC243" s="58"/>
      <c r="DD243" s="58"/>
      <c r="DE243" s="58"/>
      <c r="DF243" s="58"/>
      <c r="DG243" s="58"/>
      <c r="DH243" s="58"/>
      <c r="DI243" s="58"/>
      <c r="DJ243" s="58"/>
      <c r="DK243" s="77"/>
      <c r="DL243" s="58"/>
      <c r="DM243" s="58"/>
      <c r="DN243" s="58"/>
      <c r="DO243" s="58"/>
      <c r="DP243" s="58"/>
      <c r="DQ243" s="58"/>
      <c r="DR243" s="58"/>
      <c r="DS243" s="58"/>
      <c r="DT243" s="58"/>
      <c r="DU243" s="58"/>
      <c r="DV243" s="95"/>
      <c r="DW243" s="58"/>
    </row>
    <row r="244" spans="1:127" x14ac:dyDescent="0.3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77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58"/>
      <c r="CU244" s="58"/>
      <c r="CV244" s="77"/>
      <c r="CX244" s="95"/>
      <c r="CY244" s="95"/>
      <c r="CZ244" s="95"/>
      <c r="DA244" s="95"/>
      <c r="DB244" s="95"/>
      <c r="DC244" s="58"/>
      <c r="DD244" s="58"/>
      <c r="DE244" s="58"/>
      <c r="DF244" s="58"/>
      <c r="DG244" s="58"/>
      <c r="DH244" s="58"/>
      <c r="DI244" s="58"/>
      <c r="DJ244" s="58"/>
      <c r="DK244" s="77"/>
      <c r="DL244" s="58"/>
      <c r="DM244" s="58"/>
      <c r="DN244" s="58"/>
      <c r="DO244" s="58"/>
      <c r="DP244" s="58"/>
      <c r="DQ244" s="58"/>
      <c r="DR244" s="58"/>
      <c r="DS244" s="58"/>
      <c r="DT244" s="58"/>
      <c r="DU244" s="58"/>
      <c r="DV244" s="95"/>
      <c r="DW244" s="58"/>
    </row>
    <row r="245" spans="1:127" x14ac:dyDescent="0.3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77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58"/>
      <c r="CV245" s="77"/>
      <c r="CX245" s="95"/>
      <c r="CY245" s="95"/>
      <c r="CZ245" s="95"/>
      <c r="DA245" s="95"/>
      <c r="DB245" s="95"/>
      <c r="DC245" s="58"/>
      <c r="DD245" s="58"/>
      <c r="DE245" s="58"/>
      <c r="DF245" s="58"/>
      <c r="DG245" s="58"/>
      <c r="DH245" s="58"/>
      <c r="DI245" s="58"/>
      <c r="DJ245" s="58"/>
      <c r="DK245" s="77"/>
      <c r="DL245" s="58"/>
      <c r="DM245" s="58"/>
      <c r="DN245" s="58"/>
      <c r="DO245" s="58"/>
      <c r="DP245" s="58"/>
      <c r="DQ245" s="58"/>
      <c r="DR245" s="58"/>
      <c r="DS245" s="58"/>
      <c r="DT245" s="58"/>
      <c r="DU245" s="58"/>
      <c r="DV245" s="95"/>
      <c r="DW245" s="58"/>
    </row>
    <row r="246" spans="1:127" x14ac:dyDescent="0.3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77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58"/>
      <c r="CV246" s="77"/>
      <c r="CX246" s="95"/>
      <c r="CY246" s="95"/>
      <c r="CZ246" s="95"/>
      <c r="DA246" s="95"/>
      <c r="DB246" s="95"/>
      <c r="DC246" s="58"/>
      <c r="DD246" s="58"/>
      <c r="DE246" s="58"/>
      <c r="DF246" s="58"/>
      <c r="DG246" s="58"/>
      <c r="DH246" s="58"/>
      <c r="DI246" s="58"/>
      <c r="DJ246" s="58"/>
      <c r="DK246" s="77"/>
      <c r="DL246" s="58"/>
      <c r="DM246" s="58"/>
      <c r="DN246" s="58"/>
      <c r="DO246" s="58"/>
      <c r="DP246" s="58"/>
      <c r="DQ246" s="58"/>
      <c r="DR246" s="58"/>
      <c r="DS246" s="58"/>
      <c r="DT246" s="58"/>
      <c r="DU246" s="58"/>
      <c r="DV246" s="95"/>
      <c r="DW246" s="58"/>
    </row>
    <row r="247" spans="1:127" x14ac:dyDescent="0.3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77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77"/>
      <c r="CX247" s="95"/>
      <c r="CY247" s="95"/>
      <c r="CZ247" s="95"/>
      <c r="DA247" s="95"/>
      <c r="DB247" s="95"/>
      <c r="DC247" s="58"/>
      <c r="DD247" s="58"/>
      <c r="DE247" s="58"/>
      <c r="DF247" s="58"/>
      <c r="DG247" s="58"/>
      <c r="DH247" s="58"/>
      <c r="DI247" s="58"/>
      <c r="DJ247" s="58"/>
      <c r="DK247" s="77"/>
      <c r="DL247" s="58"/>
      <c r="DM247" s="58"/>
      <c r="DN247" s="58"/>
      <c r="DO247" s="58"/>
      <c r="DP247" s="58"/>
      <c r="DQ247" s="58"/>
      <c r="DR247" s="58"/>
      <c r="DS247" s="58"/>
      <c r="DT247" s="58"/>
      <c r="DU247" s="58"/>
      <c r="DV247" s="95"/>
      <c r="DW247" s="58"/>
    </row>
    <row r="248" spans="1:127" x14ac:dyDescent="0.3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77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77"/>
      <c r="CX248" s="95"/>
      <c r="CY248" s="95"/>
      <c r="CZ248" s="95"/>
      <c r="DA248" s="95"/>
      <c r="DB248" s="95"/>
      <c r="DC248" s="58"/>
      <c r="DD248" s="58"/>
      <c r="DE248" s="58"/>
      <c r="DF248" s="58"/>
      <c r="DG248" s="58"/>
      <c r="DH248" s="58"/>
      <c r="DI248" s="58"/>
      <c r="DJ248" s="58"/>
      <c r="DK248" s="77"/>
      <c r="DL248" s="58"/>
      <c r="DM248" s="58"/>
      <c r="DN248" s="58"/>
      <c r="DO248" s="58"/>
      <c r="DP248" s="58"/>
      <c r="DQ248" s="58"/>
      <c r="DR248" s="58"/>
      <c r="DS248" s="58"/>
      <c r="DT248" s="58"/>
      <c r="DU248" s="58"/>
      <c r="DV248" s="95"/>
      <c r="DW248" s="58"/>
    </row>
    <row r="249" spans="1:127" x14ac:dyDescent="0.3">
      <c r="A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77"/>
      <c r="CX249" s="95"/>
      <c r="CY249" s="95"/>
      <c r="CZ249" s="95"/>
      <c r="DA249" s="95"/>
      <c r="DB249" s="95"/>
      <c r="DC249" s="58"/>
      <c r="DD249" s="58"/>
      <c r="DE249" s="58"/>
      <c r="DF249" s="58"/>
      <c r="DG249" s="58"/>
      <c r="DH249" s="58"/>
      <c r="DI249" s="58"/>
      <c r="DJ249" s="58"/>
      <c r="DK249" s="77"/>
      <c r="DL249" s="58"/>
      <c r="DM249" s="58"/>
      <c r="DN249" s="58"/>
      <c r="DO249" s="58"/>
      <c r="DP249" s="58"/>
      <c r="DQ249" s="58"/>
      <c r="DR249" s="58"/>
      <c r="DS249" s="58"/>
      <c r="DT249" s="58"/>
      <c r="DU249" s="58"/>
      <c r="DV249" s="95"/>
      <c r="DW249" s="58"/>
    </row>
    <row r="250" spans="1:127" x14ac:dyDescent="0.3">
      <c r="A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8"/>
      <c r="BZ250" s="58"/>
      <c r="CA250" s="58"/>
      <c r="CB250" s="58"/>
      <c r="CC250" s="58"/>
      <c r="CD250" s="58"/>
      <c r="CE250" s="58"/>
      <c r="CF250" s="58"/>
      <c r="CG250" s="58"/>
      <c r="CH250" s="58"/>
      <c r="CI250" s="58"/>
      <c r="CJ250" s="58"/>
      <c r="CK250" s="58"/>
      <c r="CL250" s="58"/>
      <c r="CM250" s="58"/>
      <c r="CN250" s="58"/>
      <c r="CO250" s="58"/>
      <c r="CP250" s="58"/>
      <c r="CQ250" s="58"/>
      <c r="CR250" s="58"/>
      <c r="CS250" s="58"/>
      <c r="CT250" s="58"/>
      <c r="CU250" s="58"/>
      <c r="CV250" s="77"/>
      <c r="CX250" s="95"/>
      <c r="CY250" s="95"/>
      <c r="CZ250" s="95"/>
      <c r="DA250" s="95"/>
      <c r="DB250" s="95"/>
      <c r="DC250" s="58"/>
      <c r="DD250" s="58"/>
      <c r="DE250" s="58"/>
      <c r="DF250" s="58"/>
      <c r="DG250" s="58"/>
      <c r="DH250" s="58"/>
      <c r="DI250" s="58"/>
      <c r="DJ250" s="58"/>
      <c r="DK250" s="77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95"/>
      <c r="DW250" s="58"/>
    </row>
    <row r="251" spans="1:127" x14ac:dyDescent="0.3">
      <c r="A251" s="58"/>
      <c r="BA251" s="58"/>
      <c r="BB251" s="58"/>
      <c r="BC251" s="58"/>
      <c r="BD251" s="58"/>
      <c r="BE251" s="58"/>
      <c r="BF251" s="58"/>
      <c r="BG251" s="58"/>
      <c r="BI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Z251" s="58"/>
      <c r="CA251" s="58"/>
      <c r="CB251" s="58"/>
      <c r="CD251" s="58"/>
      <c r="CE251" s="58"/>
      <c r="CF251" s="58"/>
      <c r="CG251" s="58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58"/>
      <c r="CV251" s="77"/>
      <c r="CX251" s="95"/>
      <c r="CY251" s="95"/>
      <c r="CZ251" s="95"/>
      <c r="DA251" s="95"/>
      <c r="DB251" s="95"/>
      <c r="DC251" s="58"/>
      <c r="DD251" s="58"/>
      <c r="DE251" s="58"/>
      <c r="DF251" s="58"/>
      <c r="DG251" s="58"/>
      <c r="DH251" s="58"/>
      <c r="DI251" s="58"/>
      <c r="DJ251" s="58"/>
      <c r="DK251" s="77"/>
      <c r="DL251" s="58"/>
      <c r="DM251" s="58"/>
      <c r="DN251" s="58"/>
      <c r="DO251" s="58"/>
      <c r="DP251" s="58"/>
      <c r="DQ251" s="58"/>
      <c r="DR251" s="58"/>
      <c r="DS251" s="58"/>
      <c r="DT251" s="58"/>
      <c r="DU251" s="58"/>
      <c r="DV251" s="95"/>
      <c r="DW251" s="58"/>
    </row>
    <row r="252" spans="1:127" x14ac:dyDescent="0.3">
      <c r="A252" s="58"/>
      <c r="DL252" s="58"/>
      <c r="DM252" s="58"/>
      <c r="DN252" s="58"/>
      <c r="DO252" s="58"/>
      <c r="DP252" s="58"/>
      <c r="DQ252" s="58"/>
      <c r="DR252" s="58"/>
      <c r="DS252" s="58"/>
      <c r="DT252" s="58"/>
      <c r="DU252" s="58"/>
    </row>
    <row r="253" spans="1:127" x14ac:dyDescent="0.3">
      <c r="A253" s="58"/>
      <c r="DL253" s="58"/>
      <c r="DM253" s="58"/>
      <c r="DN253" s="58"/>
      <c r="DO253" s="58"/>
      <c r="DP253" s="58"/>
      <c r="DQ253" s="58"/>
      <c r="DR253" s="58"/>
      <c r="DS253" s="58"/>
      <c r="DT253" s="58"/>
      <c r="DU253" s="58"/>
    </row>
    <row r="254" spans="1:127" x14ac:dyDescent="0.3">
      <c r="A254" s="58"/>
    </row>
    <row r="255" spans="1:127" x14ac:dyDescent="0.3">
      <c r="A255" s="58"/>
    </row>
  </sheetData>
  <mergeCells count="230">
    <mergeCell ref="A1:A2"/>
    <mergeCell ref="B1:B2"/>
    <mergeCell ref="C1:F2"/>
    <mergeCell ref="G1:H1"/>
    <mergeCell ref="I1:M2"/>
    <mergeCell ref="N1:R2"/>
    <mergeCell ref="CK5:CL5"/>
    <mergeCell ref="CK6:CL6"/>
    <mergeCell ref="AR1:AY2"/>
    <mergeCell ref="AZ1:BA1"/>
    <mergeCell ref="BB1:BD1"/>
    <mergeCell ref="BE1:BF1"/>
    <mergeCell ref="BG1:BJ1"/>
    <mergeCell ref="BK1:BK2"/>
    <mergeCell ref="X1:AE2"/>
    <mergeCell ref="AF1:AF2"/>
    <mergeCell ref="AG1:AG2"/>
    <mergeCell ref="AH1:AO2"/>
    <mergeCell ref="AP1:AP2"/>
    <mergeCell ref="AQ1:AQ2"/>
    <mergeCell ref="BO4:BP4"/>
    <mergeCell ref="BV4:BW4"/>
    <mergeCell ref="S3:U3"/>
    <mergeCell ref="V3:W3"/>
    <mergeCell ref="BB2:BD2"/>
    <mergeCell ref="BG2:BJ2"/>
    <mergeCell ref="CK1:CN2"/>
    <mergeCell ref="BL1:BR2"/>
    <mergeCell ref="BS1:BU2"/>
    <mergeCell ref="BV1:CB2"/>
    <mergeCell ref="CC1:CC2"/>
    <mergeCell ref="CD1:CD2"/>
    <mergeCell ref="CE1:CJ2"/>
    <mergeCell ref="AR48:AY48"/>
    <mergeCell ref="BO48:BP48"/>
    <mergeCell ref="BV48:CB48"/>
    <mergeCell ref="CK48:CL48"/>
    <mergeCell ref="CK19:CL19"/>
    <mergeCell ref="CK17:CL17"/>
    <mergeCell ref="CK21:CL21"/>
    <mergeCell ref="BX4:BY4"/>
    <mergeCell ref="CK18:CL18"/>
    <mergeCell ref="CK20:CL20"/>
    <mergeCell ref="CK11:CL11"/>
    <mergeCell ref="CK45:CL45"/>
    <mergeCell ref="CK46:CL46"/>
    <mergeCell ref="CK4:CL4"/>
    <mergeCell ref="BZ53:CA53"/>
    <mergeCell ref="CK25:CL25"/>
    <mergeCell ref="CK32:CL32"/>
    <mergeCell ref="CK26:CL26"/>
    <mergeCell ref="CK30:CL30"/>
    <mergeCell ref="CK29:CL29"/>
    <mergeCell ref="CK33:CL33"/>
    <mergeCell ref="CK24:CL24"/>
    <mergeCell ref="BZ49:CA49"/>
    <mergeCell ref="BZ50:CA50"/>
    <mergeCell ref="BZ51:CA51"/>
    <mergeCell ref="BZ52:CA52"/>
    <mergeCell ref="CK31:CL31"/>
    <mergeCell ref="CK28:CL28"/>
    <mergeCell ref="CK27:CL27"/>
    <mergeCell ref="CK41:CL41"/>
    <mergeCell ref="CK39:CL39"/>
    <mergeCell ref="CK40:CL40"/>
    <mergeCell ref="CK34:CL34"/>
    <mergeCell ref="CK35:CL35"/>
    <mergeCell ref="BZ4:CA4"/>
    <mergeCell ref="DH1:DL1"/>
    <mergeCell ref="DN1:DS2"/>
    <mergeCell ref="DT1:DU2"/>
    <mergeCell ref="CX3:DB3"/>
    <mergeCell ref="DC3:DG3"/>
    <mergeCell ref="DH2:DI2"/>
    <mergeCell ref="DJ2:DL2"/>
    <mergeCell ref="CO1:CQ2"/>
    <mergeCell ref="CR1:CT2"/>
    <mergeCell ref="CU1:CW2"/>
    <mergeCell ref="CX1:DB2"/>
    <mergeCell ref="DC1:DG2"/>
    <mergeCell ref="CK22:CL22"/>
    <mergeCell ref="CK23:CL23"/>
    <mergeCell ref="CK37:CL37"/>
    <mergeCell ref="CK38:CL38"/>
    <mergeCell ref="CK7:CL7"/>
    <mergeCell ref="CK8:CL8"/>
    <mergeCell ref="CK9:CL9"/>
    <mergeCell ref="CK10:CL10"/>
    <mergeCell ref="CK12:CL12"/>
    <mergeCell ref="CK13:CL13"/>
    <mergeCell ref="CK14:CL14"/>
    <mergeCell ref="CK15:CL15"/>
    <mergeCell ref="CK16:CL16"/>
    <mergeCell ref="CK36:CL36"/>
    <mergeCell ref="BZ55:CA55"/>
    <mergeCell ref="BZ56:CA56"/>
    <mergeCell ref="BZ57:CA57"/>
    <mergeCell ref="BZ58:CA58"/>
    <mergeCell ref="BZ59:CA59"/>
    <mergeCell ref="BZ60:CA60"/>
    <mergeCell ref="BZ63:CA63"/>
    <mergeCell ref="BZ61:CA61"/>
    <mergeCell ref="BZ54:CA54"/>
    <mergeCell ref="BZ73:CA73"/>
    <mergeCell ref="BZ74:CA74"/>
    <mergeCell ref="BZ62:CA62"/>
    <mergeCell ref="BZ64:CA64"/>
    <mergeCell ref="BZ65:CA65"/>
    <mergeCell ref="BZ84:CA84"/>
    <mergeCell ref="BZ67:CA67"/>
    <mergeCell ref="BZ68:CA68"/>
    <mergeCell ref="BZ69:CA69"/>
    <mergeCell ref="BZ70:CA70"/>
    <mergeCell ref="BZ71:CA71"/>
    <mergeCell ref="BZ72:CA72"/>
    <mergeCell ref="BZ75:CA75"/>
    <mergeCell ref="BZ76:CA76"/>
    <mergeCell ref="BZ77:CA77"/>
    <mergeCell ref="BZ79:CA79"/>
    <mergeCell ref="BZ80:CA80"/>
    <mergeCell ref="BZ81:CA81"/>
    <mergeCell ref="BZ82:CA82"/>
    <mergeCell ref="BZ83:CA83"/>
    <mergeCell ref="BZ78:CA78"/>
    <mergeCell ref="BZ66:CA66"/>
    <mergeCell ref="CG219:CH219"/>
    <mergeCell ref="CG209:CH209"/>
    <mergeCell ref="CG198:CH198"/>
    <mergeCell ref="CG199:CH199"/>
    <mergeCell ref="CG200:CH200"/>
    <mergeCell ref="BZ90:CA90"/>
    <mergeCell ref="BZ85:CA85"/>
    <mergeCell ref="BZ86:CA86"/>
    <mergeCell ref="BZ87:CA87"/>
    <mergeCell ref="BZ88:CA88"/>
    <mergeCell ref="BZ89:CA89"/>
    <mergeCell ref="CG141:CH141"/>
    <mergeCell ref="BZ91:CA91"/>
    <mergeCell ref="BZ92:CA92"/>
    <mergeCell ref="BZ93:CA93"/>
    <mergeCell ref="BZ94:CA94"/>
    <mergeCell ref="BZ95:CA95"/>
    <mergeCell ref="BZ96:CA96"/>
    <mergeCell ref="BZ97:CA97"/>
    <mergeCell ref="BZ98:CA98"/>
    <mergeCell ref="BZ99:CA99"/>
    <mergeCell ref="CD135:CE135"/>
    <mergeCell ref="CG136:CH136"/>
    <mergeCell ref="CG137:CH137"/>
    <mergeCell ref="CG164:CH164"/>
    <mergeCell ref="CG185:CH185"/>
    <mergeCell ref="CG165:CH165"/>
    <mergeCell ref="CG166:CH166"/>
    <mergeCell ref="CG167:CH167"/>
    <mergeCell ref="CG220:CH220"/>
    <mergeCell ref="CG221:CH221"/>
    <mergeCell ref="CG210:CH210"/>
    <mergeCell ref="CG211:CH211"/>
    <mergeCell ref="CG212:CH212"/>
    <mergeCell ref="CG213:CH213"/>
    <mergeCell ref="CG214:CH214"/>
    <mergeCell ref="CG215:CH215"/>
    <mergeCell ref="CG182:CH182"/>
    <mergeCell ref="CG183:CH183"/>
    <mergeCell ref="CG187:CH187"/>
    <mergeCell ref="CG188:CH188"/>
    <mergeCell ref="CG189:CH189"/>
    <mergeCell ref="CG190:CH190"/>
    <mergeCell ref="CG216:CH216"/>
    <mergeCell ref="CG217:CH217"/>
    <mergeCell ref="CG218:CH218"/>
    <mergeCell ref="CG186:CH186"/>
    <mergeCell ref="CG204:CH204"/>
    <mergeCell ref="CG202:CH202"/>
    <mergeCell ref="CG203:CH203"/>
    <mergeCell ref="CG192:CH192"/>
    <mergeCell ref="CG193:CH193"/>
    <mergeCell ref="CG194:CH194"/>
    <mergeCell ref="CG195:CH195"/>
    <mergeCell ref="CG196:CH196"/>
    <mergeCell ref="CG197:CH197"/>
    <mergeCell ref="CG191:CH191"/>
    <mergeCell ref="CK44:CL44"/>
    <mergeCell ref="CK43:CL43"/>
    <mergeCell ref="CK42:CL42"/>
    <mergeCell ref="CG152:CH152"/>
    <mergeCell ref="CG208:CH208"/>
    <mergeCell ref="CG207:CH207"/>
    <mergeCell ref="CG206:CH206"/>
    <mergeCell ref="CG205:CH205"/>
    <mergeCell ref="CG178:CH178"/>
    <mergeCell ref="CG179:CH179"/>
    <mergeCell ref="CG168:CH168"/>
    <mergeCell ref="CG169:CH169"/>
    <mergeCell ref="CG170:CH170"/>
    <mergeCell ref="CG171:CH171"/>
    <mergeCell ref="CG172:CH172"/>
    <mergeCell ref="CG173:CH173"/>
    <mergeCell ref="CG158:CH158"/>
    <mergeCell ref="CG159:CH159"/>
    <mergeCell ref="CG160:CH160"/>
    <mergeCell ref="CG161:CH161"/>
    <mergeCell ref="CG156:CH156"/>
    <mergeCell ref="CG157:CH157"/>
    <mergeCell ref="CG174:CH174"/>
    <mergeCell ref="CG201:CH201"/>
    <mergeCell ref="CG154:CH154"/>
    <mergeCell ref="CG155:CH155"/>
    <mergeCell ref="CG138:CH138"/>
    <mergeCell ref="CG139:CH139"/>
    <mergeCell ref="CG140:CH140"/>
    <mergeCell ref="CG184:CH184"/>
    <mergeCell ref="CG148:CH148"/>
    <mergeCell ref="CG149:CH149"/>
    <mergeCell ref="CG150:CH150"/>
    <mergeCell ref="CG151:CH151"/>
    <mergeCell ref="CG175:CH175"/>
    <mergeCell ref="CG176:CH176"/>
    <mergeCell ref="CG177:CH177"/>
    <mergeCell ref="CG147:CH147"/>
    <mergeCell ref="CG153:CH153"/>
    <mergeCell ref="CG144:CH144"/>
    <mergeCell ref="CG145:CH145"/>
    <mergeCell ref="CG146:CH146"/>
    <mergeCell ref="CG142:CH142"/>
    <mergeCell ref="CG143:CH143"/>
    <mergeCell ref="CG180:CH180"/>
    <mergeCell ref="CG181:CH181"/>
    <mergeCell ref="CG162:CH162"/>
    <mergeCell ref="CG163:CH163"/>
  </mergeCells>
  <conditionalFormatting sqref="AD136:AD221 Y135">
    <cfRule type="expression" dxfId="1" priority="8">
      <formula>#REF!="+$X$7"</formula>
    </cfRule>
  </conditionalFormatting>
  <conditionalFormatting sqref="AG5:AG47">
    <cfRule type="expression" dxfId="0" priority="1">
      <formula>#REF!="+$X$7"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T.CAO</vt:lpstr>
      <vt:lpstr>FEED BIOMASS TM &amp;BD</vt:lpstr>
      <vt:lpstr>SEP-26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CONTROL</dc:creator>
  <cp:lastModifiedBy>Selvan. A (Quality Control)</cp:lastModifiedBy>
  <cp:lastPrinted>2026-01-12T15:08:40Z</cp:lastPrinted>
  <dcterms:created xsi:type="dcterms:W3CDTF">2026-01-01T00:01:52Z</dcterms:created>
  <dcterms:modified xsi:type="dcterms:W3CDTF">2026-09-15T07:09:30Z</dcterms:modified>
</cp:coreProperties>
</file>